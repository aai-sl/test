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lfr-my.sharepoint.com/personal/sara_kridane_externe_swisslife_fr/Documents/ADeplacer_OneDrive_suiteChgtPC/Mission_testing/Projet Orchestration Camunda/LDU01 LDU02/Pegase/Chaine classique/Cas 2 - nouvelIBAN/"/>
    </mc:Choice>
  </mc:AlternateContent>
  <xr:revisionPtr revIDLastSave="166" documentId="13_ncr:1_{5F5EB881-7C09-4C7E-AAE0-366960268D43}" xr6:coauthVersionLast="47" xr6:coauthVersionMax="47" xr10:uidLastSave="{41A4B033-86D7-4418-B798-FD74ABAC52CF}"/>
  <bookViews>
    <workbookView xWindow="28680" yWindow="-120" windowWidth="38640" windowHeight="21840" xr2:uid="{00000000-000D-0000-FFFF-FFFF00000000}"/>
  </bookViews>
  <sheets>
    <sheet name="Lots" sheetId="15" r:id="rId1"/>
    <sheet name="Config" sheetId="11" r:id="rId2"/>
    <sheet name="Listes Deroulantes" sheetId="16" r:id="rId3"/>
  </sheets>
  <functionGroups builtInGroupCount="19"/>
  <definedNames>
    <definedName name="_xlnm._FilterDatabase" localSheetId="0" hidden="1">Lots!$I$4:$BN$7</definedName>
    <definedName name="_qsz2" localSheetId="0">#REF!</definedName>
    <definedName name="_qsz2">#REF!</definedName>
    <definedName name="counter" localSheetId="0">#REF!</definedName>
    <definedName name="counter">#REF!</definedName>
    <definedName name="qsz" localSheetId="0">#REF!</definedName>
    <definedName name="qsz">#REF!</definedName>
    <definedName name="sd" localSheetId="0">#REF!</definedName>
    <definedName name="sd">#REF!</definedName>
    <definedName name="start" localSheetId="0">#REF!</definedName>
    <definedName name="start">#REF!</definedName>
    <definedName name="zerg" localSheetId="0">#REF!</definedName>
    <definedName name="zerg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1" l="1"/>
  <c r="D15" i="11"/>
  <c r="C15" i="11"/>
  <c r="B15" i="11"/>
  <c r="A15" i="11"/>
</calcChain>
</file>

<file path=xl/sharedStrings.xml><?xml version="1.0" encoding="utf-8"?>
<sst xmlns="http://schemas.openxmlformats.org/spreadsheetml/2006/main" count="628" uniqueCount="574">
  <si>
    <t>Lot</t>
  </si>
  <si>
    <t>Projet</t>
  </si>
  <si>
    <t>sourceLot</t>
  </si>
  <si>
    <t>sensFlux</t>
  </si>
  <si>
    <t>formatArrivee</t>
  </si>
  <si>
    <t>canalFrom</t>
  </si>
  <si>
    <t>metier</t>
  </si>
  <si>
    <t>E</t>
  </si>
  <si>
    <t>Pli</t>
  </si>
  <si>
    <t>Activité</t>
  </si>
  <si>
    <t>domaine</t>
  </si>
  <si>
    <t>typologie</t>
  </si>
  <si>
    <t>Document</t>
  </si>
  <si>
    <t>fichier</t>
  </si>
  <si>
    <t>typeDoc</t>
  </si>
  <si>
    <t>imageNonLisible</t>
  </si>
  <si>
    <t>N</t>
  </si>
  <si>
    <t>…</t>
  </si>
  <si>
    <t>Commentaire</t>
  </si>
  <si>
    <t>IdPli</t>
  </si>
  <si>
    <t>nomAssure</t>
  </si>
  <si>
    <t>prenomAssure</t>
  </si>
  <si>
    <t>numPersonne</t>
  </si>
  <si>
    <t>dateNaissanceAssure</t>
  </si>
  <si>
    <t>numContrat</t>
  </si>
  <si>
    <t>Cette feuille contient la configuration - ne pas la supprimer ni renommer</t>
  </si>
  <si>
    <t>Environnements</t>
  </si>
  <si>
    <t>Local</t>
  </si>
  <si>
    <t xml:space="preserve">Environnement : </t>
  </si>
  <si>
    <t>Fichiers de log_fonctionnels</t>
  </si>
  <si>
    <t>Chemins de depots de flux (zips)</t>
  </si>
  <si>
    <t>Environnement actuelement utilisé</t>
  </si>
  <si>
    <t>Liste des environnements disponibles</t>
  </si>
  <si>
    <t>Rempli automatiquement</t>
  </si>
  <si>
    <t>Reference</t>
  </si>
  <si>
    <t>(saisi libre)</t>
  </si>
  <si>
    <t>Champs de saisi libre</t>
  </si>
  <si>
    <t>A remplir les caracteristiques du flux à générer</t>
  </si>
  <si>
    <t>Valeur</t>
  </si>
  <si>
    <t>Date d'injection</t>
  </si>
  <si>
    <t>ReferenceActivite</t>
  </si>
  <si>
    <t>Reference Renvoye</t>
  </si>
  <si>
    <t>CodeCorbeille</t>
  </si>
  <si>
    <t>CodeStatut</t>
  </si>
  <si>
    <t>Typologie</t>
  </si>
  <si>
    <t>TypologieActiviteDuFluxEntrant</t>
  </si>
  <si>
    <t>SousTypologie</t>
  </si>
  <si>
    <t>IdLot</t>
  </si>
  <si>
    <t>Domaine du Routage</t>
  </si>
  <si>
    <t>Regle du Routage</t>
  </si>
  <si>
    <t>Conditions du Routage</t>
  </si>
  <si>
    <t>Fusion</t>
  </si>
  <si>
    <t>Regle de fusion</t>
  </si>
  <si>
    <t>NumeroContrat</t>
  </si>
  <si>
    <t>NumeroFrigo</t>
  </si>
  <si>
    <t>NumeroProposition</t>
  </si>
  <si>
    <t>Nom ou RS</t>
  </si>
  <si>
    <t>Prenom</t>
  </si>
  <si>
    <t>Variables</t>
  </si>
  <si>
    <t>Description</t>
  </si>
  <si>
    <t>Valeur 2</t>
  </si>
  <si>
    <t>Chemin de depot de fichier pour génération</t>
  </si>
  <si>
    <t>Archive de resultats</t>
  </si>
  <si>
    <t>Timestamp Actuel</t>
  </si>
  <si>
    <t>Fichiers de log</t>
  </si>
  <si>
    <t>Dossiers de log d'erreurs</t>
  </si>
  <si>
    <r>
      <rPr>
        <b/>
        <sz val="11"/>
        <color indexed="17"/>
        <rFont val="Calibri"/>
        <family val="2"/>
      </rPr>
      <t>Valeurs Attendus :</t>
    </r>
    <r>
      <rPr>
        <sz val="11"/>
        <color indexed="17"/>
        <rFont val="Calibri"/>
        <family val="2"/>
      </rPr>
      <t xml:space="preserve"> A remplir si on veut avoir la validation automatique</t>
    </r>
  </si>
  <si>
    <r>
      <t xml:space="preserve">Resultats (remplis automatiquement à partir du </t>
    </r>
    <r>
      <rPr>
        <b/>
        <sz val="11"/>
        <color indexed="17"/>
        <rFont val="Calibri"/>
        <family val="2"/>
      </rPr>
      <t>log fonctionnel</t>
    </r>
    <r>
      <rPr>
        <sz val="11"/>
        <color indexed="17"/>
        <rFont val="Calibri"/>
        <family val="2"/>
      </rPr>
      <t>)</t>
    </r>
  </si>
  <si>
    <t>identifiantDemandeSL</t>
  </si>
  <si>
    <t>numeroPolice</t>
  </si>
  <si>
    <t>numeroSinistre</t>
  </si>
  <si>
    <t>immatriculation</t>
  </si>
  <si>
    <t>trigramme</t>
  </si>
  <si>
    <t>S</t>
  </si>
  <si>
    <t>LOT</t>
  </si>
  <si>
    <t>SWISSLIFEONE</t>
  </si>
  <si>
    <t>syntheseDemande</t>
  </si>
  <si>
    <t>cheque</t>
  </si>
  <si>
    <t>corpDuMail</t>
  </si>
  <si>
    <t>clibre</t>
  </si>
  <si>
    <t>document</t>
  </si>
  <si>
    <t>mail</t>
  </si>
  <si>
    <t>pjMail</t>
  </si>
  <si>
    <t>documentNonReconnu</t>
  </si>
  <si>
    <t>CDEM</t>
  </si>
  <si>
    <t>Liste des documents</t>
  </si>
  <si>
    <t>TypeDoc</t>
  </si>
  <si>
    <t>O</t>
  </si>
  <si>
    <t>DEV (dewapv10141)</t>
  </si>
  <si>
    <t>Recette (rewapv11093)</t>
  </si>
  <si>
    <t>AR</t>
  </si>
  <si>
    <t>MND</t>
  </si>
  <si>
    <t>SPAM</t>
  </si>
  <si>
    <t>archiveAkio</t>
  </si>
  <si>
    <t>DSN</t>
  </si>
  <si>
    <t>SLPM</t>
  </si>
  <si>
    <t>divers</t>
  </si>
  <si>
    <t>KLIFE</t>
  </si>
  <si>
    <t>acteDeces</t>
  </si>
  <si>
    <t>bulletinModification</t>
  </si>
  <si>
    <t>enveloppe</t>
  </si>
  <si>
    <t>ficheClient</t>
  </si>
  <si>
    <t>justificatif</t>
  </si>
  <si>
    <t>livretFamille</t>
  </si>
  <si>
    <t>pieceIdentite</t>
  </si>
  <si>
    <t>demandeClient</t>
  </si>
  <si>
    <t>mndDds</t>
  </si>
  <si>
    <t>E:\product\log\Plateforme_Pegase_WS\LDU02\LDU02_pre_injecteur_fonctionnel.log</t>
  </si>
  <si>
    <t>E:\product\log\Plateforme_Pegase_WS\LDU02\LDU02_pre_injecteur.log</t>
  </si>
  <si>
    <t>\\dewapv10141\log\Plateforme_Pegase_WS\LDU02\LDU02_pre_injecteur_fonctionnel.log</t>
  </si>
  <si>
    <t>\\dewapv10141\log\Plateforme_Pegase_WS\LDU02\LDU02_pre_injecteur.log</t>
  </si>
  <si>
    <t>\\rewapv11093\log\Plateforme_Pegase_WS\LDU02\LDU02_pre_injecteur_fonctionnel.log</t>
  </si>
  <si>
    <t>\\rewapv11093\log\Plateforme_Pegase_WS\LDU02\LDU02_pre_injecteur.log</t>
  </si>
  <si>
    <t>\\Rehfip502\ged\GED_BATCH_PEGASE_TRAVAIL\PREINJ\ZIP_OF_ZIP</t>
  </si>
  <si>
    <t>\\Rehfip502\ged\GED_BATCH_PEGASE_TRAVAIL\PREINJ\LOGERR\</t>
  </si>
  <si>
    <t>E:\GED_BATCH_PEGASE_TRAVAIL\PREINJ\LOGERR\</t>
  </si>
  <si>
    <t>PEG</t>
  </si>
  <si>
    <t>ARCHIVES</t>
  </si>
  <si>
    <t>COLLECTIVES</t>
  </si>
  <si>
    <t>EURO</t>
  </si>
  <si>
    <t>INDIVIDUEL</t>
  </si>
  <si>
    <t>Luxembourg</t>
  </si>
  <si>
    <t>MEDICAL</t>
  </si>
  <si>
    <t>PARTENAIRES</t>
  </si>
  <si>
    <t>RCP</t>
  </si>
  <si>
    <t>RENTES</t>
  </si>
  <si>
    <t>TSA-CNR</t>
  </si>
  <si>
    <t>VIE</t>
  </si>
  <si>
    <t>_</t>
  </si>
  <si>
    <t>accordDerogation</t>
  </si>
  <si>
    <t>accordEntreprise</t>
  </si>
  <si>
    <t>AccuseDeReception</t>
  </si>
  <si>
    <t>actualisationDonneesClients</t>
  </si>
  <si>
    <t>adhesion</t>
  </si>
  <si>
    <t>aIdentifier</t>
  </si>
  <si>
    <t>aNaissance</t>
  </si>
  <si>
    <t>AnVexAR_Prem</t>
  </si>
  <si>
    <t>AnVexDemandeInfo_Prem</t>
  </si>
  <si>
    <t>AnVexMiseEnInstance_Prem</t>
  </si>
  <si>
    <t>AnVexRelance_Prem</t>
  </si>
  <si>
    <t>AnVexRetourDistrib_Prem</t>
  </si>
  <si>
    <t>ARAvecReclaApportHtml</t>
  </si>
  <si>
    <t>ARAvecReclaAssureHtml</t>
  </si>
  <si>
    <t>arretTravail</t>
  </si>
  <si>
    <t>ARSansReclaApportHtml</t>
  </si>
  <si>
    <t>ARSansReclaAssureHtml</t>
  </si>
  <si>
    <t>art62</t>
  </si>
  <si>
    <t>art82</t>
  </si>
  <si>
    <t>ARVIFNeg</t>
  </si>
  <si>
    <t>ARVIFPos</t>
  </si>
  <si>
    <t>ATApportHtml</t>
  </si>
  <si>
    <t>ATAssureHtml</t>
  </si>
  <si>
    <t>attestationEmployeur</t>
  </si>
  <si>
    <t>attestationHeritiers</t>
  </si>
  <si>
    <t>attestationNouvelAssureur</t>
  </si>
  <si>
    <t>attIndemBordereauIJ</t>
  </si>
  <si>
    <t>autprelev</t>
  </si>
  <si>
    <t>avenantAllocation</t>
  </si>
  <si>
    <t>avenantTransfertCollectif</t>
  </si>
  <si>
    <t>avenantUCS</t>
  </si>
  <si>
    <t>avisImpots</t>
  </si>
  <si>
    <t>AvisRecla_Prem</t>
  </si>
  <si>
    <t>avisVirement</t>
  </si>
  <si>
    <t>BonPourAccordEuro</t>
  </si>
  <si>
    <t>BonPourAccordMadelin</t>
  </si>
  <si>
    <t>BonPourAccordPea</t>
  </si>
  <si>
    <t>BonPourAccordPep</t>
  </si>
  <si>
    <t>BonPourAccordPerp</t>
  </si>
  <si>
    <t>bordereauCotisation</t>
  </si>
  <si>
    <t>bordereauERE</t>
  </si>
  <si>
    <t>bordereauGRE</t>
  </si>
  <si>
    <t>brecommande</t>
  </si>
  <si>
    <t>bulletinAdhAffiliation</t>
  </si>
  <si>
    <t>bulletinArbitrage</t>
  </si>
  <si>
    <t>bulletinRachat</t>
  </si>
  <si>
    <t>bulletinSalaire</t>
  </si>
  <si>
    <t>bulletinSouscription</t>
  </si>
  <si>
    <t>bulletinVersement</t>
  </si>
  <si>
    <t>cannexe</t>
  </si>
  <si>
    <t>certadh</t>
  </si>
  <si>
    <t>certificatMedical</t>
  </si>
  <si>
    <t>certificatNonResident</t>
  </si>
  <si>
    <t>certifIdentification</t>
  </si>
  <si>
    <t>certVie</t>
  </si>
  <si>
    <t>clauseBeneficiaire</t>
  </si>
  <si>
    <t>CNI</t>
  </si>
  <si>
    <t>comparatifProduit</t>
  </si>
  <si>
    <t>complement</t>
  </si>
  <si>
    <t>condpart</t>
  </si>
  <si>
    <t>ConfirmationTransfert_Prem</t>
  </si>
  <si>
    <t>contrat</t>
  </si>
  <si>
    <t>contratSurMesure</t>
  </si>
  <si>
    <t>conventionDemembrement</t>
  </si>
  <si>
    <t>conventionPreuve</t>
  </si>
  <si>
    <t>coordonneesNouvelAssureur</t>
  </si>
  <si>
    <t>couponRefSinistre</t>
  </si>
  <si>
    <t>courrierDecisionAssure</t>
  </si>
  <si>
    <t>courrierDecisionDemandeurMed</t>
  </si>
  <si>
    <t>courrierEvenRapido</t>
  </si>
  <si>
    <t>courrierMedical</t>
  </si>
  <si>
    <t>decisionDeTransfert</t>
  </si>
  <si>
    <t>declaAdhe</t>
  </si>
  <si>
    <t>DemandeDeFondsEuro</t>
  </si>
  <si>
    <t>DemandeDeFondsMadelin</t>
  </si>
  <si>
    <t>DemandeDeFondsPea</t>
  </si>
  <si>
    <t>DemandeDeFondsPep</t>
  </si>
  <si>
    <t>DemandeDeFondsPerp</t>
  </si>
  <si>
    <t>DemandeDePiecesTransfertEntrant</t>
  </si>
  <si>
    <t>DemandeDePiecesTransfertSortant</t>
  </si>
  <si>
    <t>DemandePce_Prem</t>
  </si>
  <si>
    <t>demandePieces</t>
  </si>
  <si>
    <t>devoirDeConseil</t>
  </si>
  <si>
    <t>devolution</t>
  </si>
  <si>
    <t>dispositionsGenerales</t>
  </si>
  <si>
    <t>documentLiaison</t>
  </si>
  <si>
    <t>documentsFiscaux</t>
  </si>
  <si>
    <t>documentsJuridiques</t>
  </si>
  <si>
    <t>documentsMedicaux</t>
  </si>
  <si>
    <t>donation</t>
  </si>
  <si>
    <t>dsnArt39</t>
  </si>
  <si>
    <t>dsnFinCT</t>
  </si>
  <si>
    <t>dsnNouvelAdherant</t>
  </si>
  <si>
    <t>dsn1ereDsn</t>
  </si>
  <si>
    <t>epargneHandicap</t>
  </si>
  <si>
    <t>erreurConvertion</t>
  </si>
  <si>
    <t>etatDesAvoirs</t>
  </si>
  <si>
    <t>extraitCompte</t>
  </si>
  <si>
    <t>fatcaAutoCert</t>
  </si>
  <si>
    <t>fatcaW8</t>
  </si>
  <si>
    <t>fatcaW8BEN</t>
  </si>
  <si>
    <t>fatcaW9</t>
  </si>
  <si>
    <t>ficheNCRetourCheque</t>
  </si>
  <si>
    <t>ficheNCRetourDistrib</t>
  </si>
  <si>
    <t>ficheRensCompl</t>
  </si>
  <si>
    <t>formulaire</t>
  </si>
  <si>
    <t>formulaireAffectationTransfert</t>
  </si>
  <si>
    <t>formulaireTransfert</t>
  </si>
  <si>
    <t>Inconnu</t>
  </si>
  <si>
    <t>infoContratTransfere</t>
  </si>
  <si>
    <t>jugement</t>
  </si>
  <si>
    <t>justifAdminMedicaux</t>
  </si>
  <si>
    <t>kbis</t>
  </si>
  <si>
    <t>labJustificatif</t>
  </si>
  <si>
    <t>lettreDenonciation</t>
  </si>
  <si>
    <t>lettreNotaire</t>
  </si>
  <si>
    <t>mdtprelev</t>
  </si>
  <si>
    <t>mesureProtection</t>
  </si>
  <si>
    <t>MiseEnInstanceApportHtml</t>
  </si>
  <si>
    <t>MiseEnInstanceAssureHtml</t>
  </si>
  <si>
    <t>mod113601120141</t>
  </si>
  <si>
    <t>mod119420720141</t>
  </si>
  <si>
    <t>mod119421120141</t>
  </si>
  <si>
    <t>mod119950720141</t>
  </si>
  <si>
    <t>mod120170720141</t>
  </si>
  <si>
    <t>mod122090720141</t>
  </si>
  <si>
    <t>mod122280720141</t>
  </si>
  <si>
    <t>mod122281120141</t>
  </si>
  <si>
    <t>mod122290720141</t>
  </si>
  <si>
    <t>mod122500720141</t>
  </si>
  <si>
    <t>mod122510720141</t>
  </si>
  <si>
    <t>mod122520720141</t>
  </si>
  <si>
    <t>mod122570720141</t>
  </si>
  <si>
    <t>mod122580720141</t>
  </si>
  <si>
    <t>mod122600920141</t>
  </si>
  <si>
    <t>mod122620920141</t>
  </si>
  <si>
    <t>mod122921220141</t>
  </si>
  <si>
    <t>mod123040720141</t>
  </si>
  <si>
    <t>mod123080720141</t>
  </si>
  <si>
    <t>mod123120720141</t>
  </si>
  <si>
    <t>mod123130720141</t>
  </si>
  <si>
    <t>mod123630720141</t>
  </si>
  <si>
    <t>mod124700720141</t>
  </si>
  <si>
    <t>mod124701020141</t>
  </si>
  <si>
    <t>mod124920720141</t>
  </si>
  <si>
    <t>mod124920920141</t>
  </si>
  <si>
    <t>mod124921220141</t>
  </si>
  <si>
    <t>mod125980720141</t>
  </si>
  <si>
    <t>mod126220720141</t>
  </si>
  <si>
    <t>mod126220920141</t>
  </si>
  <si>
    <t>mod126221220141</t>
  </si>
  <si>
    <t>mod126340620141</t>
  </si>
  <si>
    <t>mod126691120141</t>
  </si>
  <si>
    <t>mod126700720141</t>
  </si>
  <si>
    <t>mod126701120141</t>
  </si>
  <si>
    <t>mod126760720141</t>
  </si>
  <si>
    <t>mod126761120141</t>
  </si>
  <si>
    <t>mod127100920141</t>
  </si>
  <si>
    <t>mod127120920141</t>
  </si>
  <si>
    <t>mod127240720141</t>
  </si>
  <si>
    <t>mod127241120141</t>
  </si>
  <si>
    <t>mod127531120141</t>
  </si>
  <si>
    <t>mod127541120141</t>
  </si>
  <si>
    <t>mod127551120141</t>
  </si>
  <si>
    <t>mod127570720141</t>
  </si>
  <si>
    <t>mod127580720141</t>
  </si>
  <si>
    <t>mod127630720141</t>
  </si>
  <si>
    <t>mod127700720141</t>
  </si>
  <si>
    <t>mod127701120141</t>
  </si>
  <si>
    <t>mod128060620141</t>
  </si>
  <si>
    <t>mod128330720141</t>
  </si>
  <si>
    <t>mod128331120141</t>
  </si>
  <si>
    <t>mod128340720141</t>
  </si>
  <si>
    <t>mod128580720141</t>
  </si>
  <si>
    <t>mod128581120141</t>
  </si>
  <si>
    <t>mod128591020141</t>
  </si>
  <si>
    <t>mod129050720141</t>
  </si>
  <si>
    <t>mod130540720141</t>
  </si>
  <si>
    <t>mod130570620141</t>
  </si>
  <si>
    <t>mod130571120141</t>
  </si>
  <si>
    <t>mod130580720141</t>
  </si>
  <si>
    <t>mod130590720141</t>
  </si>
  <si>
    <t>mod130600720141</t>
  </si>
  <si>
    <t>mod130610720141</t>
  </si>
  <si>
    <t>mod130660720141</t>
  </si>
  <si>
    <t>mod130680720141</t>
  </si>
  <si>
    <t>mod130710720141</t>
  </si>
  <si>
    <t>nantissementDelegation</t>
  </si>
  <si>
    <t>notifArriveeTerme</t>
  </si>
  <si>
    <t>notifInvalidite</t>
  </si>
  <si>
    <t>notifRetraite</t>
  </si>
  <si>
    <t>ordreVirement</t>
  </si>
  <si>
    <t>passeport</t>
  </si>
  <si>
    <t>police</t>
  </si>
  <si>
    <t>proposition</t>
  </si>
  <si>
    <t>pvTransfert</t>
  </si>
  <si>
    <t>qmedicale</t>
  </si>
  <si>
    <t>rapportBiologique</t>
  </si>
  <si>
    <t>rapportCardio</t>
  </si>
  <si>
    <t>rapportMedical</t>
  </si>
  <si>
    <t>rapportPatrimonial</t>
  </si>
  <si>
    <t>reglementDuPlan</t>
  </si>
  <si>
    <t>reglementGeneralAvances</t>
  </si>
  <si>
    <t>RelanceDemandeDeFondsEuro</t>
  </si>
  <si>
    <t>RelanceDemandeDeFondsMadelin</t>
  </si>
  <si>
    <t>RelanceDemandeDeFondsPea</t>
  </si>
  <si>
    <t>RelanceDemandeDeFondsPep</t>
  </si>
  <si>
    <t>RelanceDemandeDeFondsPerp</t>
  </si>
  <si>
    <t>RelanceDemandeDePieces</t>
  </si>
  <si>
    <t>RelancePceManq_Prem</t>
  </si>
  <si>
    <t>rente</t>
  </si>
  <si>
    <t>RetourDistribHtml</t>
  </si>
  <si>
    <t>RIB</t>
  </si>
  <si>
    <t>robot</t>
  </si>
  <si>
    <t>statuts</t>
  </si>
  <si>
    <t>tabAmortissement</t>
  </si>
  <si>
    <t>tic1_CNR_DemandePieces_Apporteur_exo</t>
  </si>
  <si>
    <t>tic1_CNR_DemandePieces_Apporteur_loiTepa</t>
  </si>
  <si>
    <t>tic1_CNR_DemandePieces_Apporteur_757b</t>
  </si>
  <si>
    <t>tic1_CNR_DemandePieces_Apporteur_757b_990i</t>
  </si>
  <si>
    <t>tic1_CNR_DemandePieces_Apporteur_990i</t>
  </si>
  <si>
    <t>tic1_CNR_DemandePieces_Beneficiaire_exo</t>
  </si>
  <si>
    <t>tic1_CNR_DemandePieces_Beneficiaire_loiTepa</t>
  </si>
  <si>
    <t>tic1_CNR_DemandePieces_Beneficiaire_757b</t>
  </si>
  <si>
    <t>tic1_CNR_DemandePieces_Beneficiaire_757b_990i</t>
  </si>
  <si>
    <t>tic1_CNR_DemandePieces_Beneficiaire_990i</t>
  </si>
  <si>
    <t>tic1_CNR_DemandePieces_Notaire_exo</t>
  </si>
  <si>
    <t>tic1_CNR_DemandePieces_Notaire_loiTepa</t>
  </si>
  <si>
    <t>tic1_CNR_DemandePieces_Notaire_757b</t>
  </si>
  <si>
    <t>tic1_CNR_DemandePieces_Notaire_757b_990i</t>
  </si>
  <si>
    <t>tic1_CNR_DemandePieces_Notaire_990i</t>
  </si>
  <si>
    <t>tic1_CNR_MAIL_DemandePieces_Apporteur_html</t>
  </si>
  <si>
    <t>tic1_CNR_MAIL_DemandePieces_Beneficiaire_html</t>
  </si>
  <si>
    <t>tic1_CNR_MAIL_DemandePieces_Notaire_html</t>
  </si>
  <si>
    <t>tic1_CNR_MAIL_RelanceDemandePieces_Apporteur_html</t>
  </si>
  <si>
    <t>tic1_CNR_MAIL_RelanceDemandePieces_Beneficiaire_html</t>
  </si>
  <si>
    <t>tic1_CNR_MAIL_RelanceDemandePieces_Notaire_html</t>
  </si>
  <si>
    <t>tic1_CNR_RelanceDemandePieces_Apporteur_exo</t>
  </si>
  <si>
    <t>tic1_CNR_RelanceDemandePieces_Apporteur_loiTepa</t>
  </si>
  <si>
    <t>tic1_CNR_RelanceDemandePieces_Apporteur_757b</t>
  </si>
  <si>
    <t>tic1_CNR_RelanceDemandePieces_Apporteur_757b_990i</t>
  </si>
  <si>
    <t>tic1_CNR_RelanceDemandePieces_Apporteur_990i</t>
  </si>
  <si>
    <t>tic1_CNR_RelanceDemandePieces_Beneficiaire_exo</t>
  </si>
  <si>
    <t>tic1_CNR_RelanceDemandePieces_Beneficiaire_loiTepa</t>
  </si>
  <si>
    <t>tic1_CNR_RelanceDemandePieces_Beneficiaire_757b</t>
  </si>
  <si>
    <t>tic1_CNR_RelanceDemandePieces_Beneficiaire_757b_990i</t>
  </si>
  <si>
    <t>tic1_CNR_RelanceDemandePieces_Beneficiaire_990i</t>
  </si>
  <si>
    <t>tic1_CNR_RelanceDemandePieces_Notaire_exo</t>
  </si>
  <si>
    <t>tic1_CNR_RelanceDemandePieces_Notaire_loiTepa</t>
  </si>
  <si>
    <t>tic1_CNR_RelanceDemandePieces_Notaire_757b</t>
  </si>
  <si>
    <t>tic1_CNR_RelanceDemandePieces_Notaire_757b_990i</t>
  </si>
  <si>
    <t>tic1_CNR_RelanceDemandePieces_Notaire_990i</t>
  </si>
  <si>
    <t>tic1_RCIT_DemandePieces_Apporteur</t>
  </si>
  <si>
    <t>tic1_RCIT_DemandePieces_Beneficiaire</t>
  </si>
  <si>
    <t>tic1_RCIT_DemandePieces_Notaire</t>
  </si>
  <si>
    <t>tic1_RCIT_MAIL_DemandePieces_Beneficiaire_html</t>
  </si>
  <si>
    <t>tic1_RCIT_MAIL_DemandePieces_html</t>
  </si>
  <si>
    <t>tic1_RCIT_MAIL_RelanceDemandePieces_Beneficiaire_html</t>
  </si>
  <si>
    <t>tic1_RCIT_MAIL_RelanceDemandePieces_html</t>
  </si>
  <si>
    <t>tic1_RCIT_RelanceDemandePieces_Apporteur</t>
  </si>
  <si>
    <t>tic1_RCIT_RelanceDemandePieces_Beneficiaire</t>
  </si>
  <si>
    <t>tic1_RCIT_RelanceDemandePieces_Notaire</t>
  </si>
  <si>
    <t>tic1_RENTES_CttEnCours_DemandePieces_Beneficiaire</t>
  </si>
  <si>
    <t>tic1_RENTES_CttEnCours_RelanceDemandePieces_Beneficiaire</t>
  </si>
  <si>
    <t>tic1_RENTES_NonRevers_DemandePieces_Beneficiaire</t>
  </si>
  <si>
    <t>tic1_RENTES_NonRevers_DemandePieces_Notaire</t>
  </si>
  <si>
    <t>tic1_RENTES_NonRevers_RelanceDemandePieces_Beneficiaire</t>
  </si>
  <si>
    <t>tic1_RENTES_NonRevers_RelanceDemandePieces_Notaire</t>
  </si>
  <si>
    <t>tic1_RENTES_Revers_DemandePieces_Beneficiaire</t>
  </si>
  <si>
    <t>tic1_RENTES_Revers_DemandePieces_Notaire</t>
  </si>
  <si>
    <t>tic1_RENTES_Revers_RelanceDemandePieces_Beneficiaire</t>
  </si>
  <si>
    <t>tic1_RENTES_Revers_RelanceDemandePieces_Notaire</t>
  </si>
  <si>
    <t>tic1_SUCC_DemandePieces_Apporteur_exo</t>
  </si>
  <si>
    <t>tic1_SUCC_DemandePieces_Apporteur_loiTepa</t>
  </si>
  <si>
    <t>tic1_SUCC_DemandePieces_Apporteur_757b</t>
  </si>
  <si>
    <t>tic1_SUCC_DemandePieces_Apporteur_757b_990i</t>
  </si>
  <si>
    <t>tic1_SUCC_DemandePieces_Apporteur_990i</t>
  </si>
  <si>
    <t>tic1_SUCC_DemandePieces_Beneficiaire_exo</t>
  </si>
  <si>
    <t>tic1_SUCC_DemandePieces_Beneficiaire_loiTepa</t>
  </si>
  <si>
    <t>tic1_SUCC_DemandePieces_Beneficiaire_757b</t>
  </si>
  <si>
    <t>tic1_SUCC_DemandePieces_Beneficiaire_757b_990i</t>
  </si>
  <si>
    <t>tic1_SUCC_DemandePieces_Beneficiaire_990i</t>
  </si>
  <si>
    <t>tic1_SUCC_DemandePieces_Notaire_exo</t>
  </si>
  <si>
    <t>tic1_SUCC_DemandePieces_Notaire_loiTepa</t>
  </si>
  <si>
    <t>tic1_SUCC_DemandePieces_Notaire_757b</t>
  </si>
  <si>
    <t>tic1_SUCC_DemandePieces_Notaire_757b_990i</t>
  </si>
  <si>
    <t>tic1_SUCC_DemandePieces_Notaire_990i</t>
  </si>
  <si>
    <t>tic1_SUCC_MAIL_DemandePieces_Apporteur_html</t>
  </si>
  <si>
    <t>tic1_SUCC_MAIL_DemandePieces_Beneficiaire_html</t>
  </si>
  <si>
    <t>tic1_SUCC_MAIL_DemandePieces_Notaire_html</t>
  </si>
  <si>
    <t>tic1_SUCC_MAIL_RelanceDemandePieces_Apporteur_html</t>
  </si>
  <si>
    <t>tic1_SUCC_MAIL_RelanceDemandePieces_Beneficiaire_html</t>
  </si>
  <si>
    <t>tic1_SUCC_MAIL_RelanceDemandePieces_Notaire_html</t>
  </si>
  <si>
    <t>tic1_SUCC_RelanceDemandePieces_Apporteur_exo</t>
  </si>
  <si>
    <t>tic1_SUCC_RelanceDemandePieces_Apporteur_loiTepa</t>
  </si>
  <si>
    <t>tic1_SUCC_RelanceDemandePieces_Apporteur_757b</t>
  </si>
  <si>
    <t>tic1_SUCC_RelanceDemandePieces_Apporteur_757b_990i</t>
  </si>
  <si>
    <t>tic1_SUCC_RelanceDemandePieces_Apporteur_990i</t>
  </si>
  <si>
    <t>tic1_SUCC_RelanceDemandePieces_Beneficiaire_exo</t>
  </si>
  <si>
    <t>tic1_SUCC_RelanceDemandePieces_Beneficiaire_loiTepa</t>
  </si>
  <si>
    <t>tic1_SUCC_RelanceDemandePieces_Beneficiaire_757b</t>
  </si>
  <si>
    <t>tic1_SUCC_RelanceDemandePieces_Beneficiaire_757b_990i</t>
  </si>
  <si>
    <t>tic1_SUCC_RelanceDemandePieces_Beneficiaire_990i</t>
  </si>
  <si>
    <t>tic1_SUCC_RelanceDemandePieces_Notaire_exo</t>
  </si>
  <si>
    <t>tic1_SUCC_RelanceDemandePieces_Notaire_loiTepa</t>
  </si>
  <si>
    <t>tic1_SUCC_RelanceDemandePieces_Notaire_757b</t>
  </si>
  <si>
    <t>tic1_SUCC_RelanceDemandePieces_Notaire_757b_990i</t>
  </si>
  <si>
    <t>tic1_SUCC_RelanceDemandePieces_Notaire_990i</t>
  </si>
  <si>
    <t>titreSejour</t>
  </si>
  <si>
    <t>tiv1_accuseTraitementAnVex_html</t>
  </si>
  <si>
    <t>tiv1_accuseTraitementAnVexPremium_html</t>
  </si>
  <si>
    <t>tiv1_ARAnVex_html</t>
  </si>
  <si>
    <t>tiv1_ARAnVexPremium_html</t>
  </si>
  <si>
    <t>tiv1_miseInstanceAnVex_html</t>
  </si>
  <si>
    <t>tiv1_miseInstanceAnVexPremium_html</t>
  </si>
  <si>
    <t>tiv1_relanceMiseInstanceAnVex_html</t>
  </si>
  <si>
    <t>tiv1_relanceMiseInstanceAnVexPremium_html</t>
  </si>
  <si>
    <t>tiv1_retourDistribAnVex_html</t>
  </si>
  <si>
    <t>tiv1_retourDistribAnVexPremium_html</t>
  </si>
  <si>
    <t>visaPreTraitement</t>
  </si>
  <si>
    <t>arCnr</t>
  </si>
  <si>
    <t>arColl</t>
  </si>
  <si>
    <t>arInd</t>
  </si>
  <si>
    <t>arRentes</t>
  </si>
  <si>
    <t>arSuccesssions</t>
  </si>
  <si>
    <t>atd</t>
  </si>
  <si>
    <t>collANPERECO</t>
  </si>
  <si>
    <t>collANPEROB</t>
  </si>
  <si>
    <t>collRepPEI</t>
  </si>
  <si>
    <t>collRepPEIRelance</t>
  </si>
  <si>
    <t>collReprisePEI</t>
  </si>
  <si>
    <t>fiabilisation</t>
  </si>
  <si>
    <t>klife</t>
  </si>
  <si>
    <t>mdnInd</t>
  </si>
  <si>
    <t>mndCnr</t>
  </si>
  <si>
    <t>mndColl</t>
  </si>
  <si>
    <t>mndRentes</t>
  </si>
  <si>
    <t>mndSuccessions</t>
  </si>
  <si>
    <t>rentesRachResiPr</t>
  </si>
  <si>
    <t>requisitions</t>
  </si>
  <si>
    <t>spamCnr</t>
  </si>
  <si>
    <t>spamColl</t>
  </si>
  <si>
    <t>spamInd</t>
  </si>
  <si>
    <t>spamRentes</t>
  </si>
  <si>
    <t>spamSuccessions</t>
  </si>
  <si>
    <t>ucDroitDeCom</t>
  </si>
  <si>
    <t>ucTransEntRetraite</t>
  </si>
  <si>
    <t>ucTransIntRetraite</t>
  </si>
  <si>
    <t>UC</t>
  </si>
  <si>
    <t>ucTransSortRetraite</t>
  </si>
  <si>
    <t>visaTracfin</t>
  </si>
  <si>
    <t>ucRachPartiel</t>
  </si>
  <si>
    <t>ucArbitrage</t>
  </si>
  <si>
    <t>codeApporteur</t>
  </si>
  <si>
    <t>ucVersementLibre</t>
  </si>
  <si>
    <t>ficheContactIndiv</t>
  </si>
  <si>
    <t>ficheContactRentes</t>
  </si>
  <si>
    <t>\\Dehapp001\ged\GED_BATCH_LDU50_TRAVAIL\excelLotGenerateur\1.DEPOSEZ_LES_FICHIERS_ICI</t>
  </si>
  <si>
    <t>\\Dehapp001\ged\GED_BATCH_LDU50_TRAVAIL\excelLotGenerateur\ARCHIVE_DES_FICHIERS_TRAITES</t>
  </si>
  <si>
    <t>\\Dehapp001\ged\GED_BATCH_PEGASE_TRAVAIL\PREINJ\ZIP_OF_ZIP</t>
  </si>
  <si>
    <t>\\Dehapp001\ged\GED_BATCH_PEGASE_TRAVAIL\PREINJ\LOGERR\</t>
  </si>
  <si>
    <t>\\Dehapp001\ged\GED_BATCH_LDU50_TRAVAIL\excelLotGenerateur\DocumentTest\documentsGeneres\sansPJ_25ko.eml</t>
  </si>
  <si>
    <t>\\Dehapp001\ged\GED_BATCH_LDU50_TRAVAIL\excelLotGenerateur\DocumentTest\documentsGeneres\1P_100Ko.pdf</t>
  </si>
  <si>
    <t>\\Dehapp001\ged\GED_BATCH_LDU50_TRAVAIL\excelLotGenerateur\DocumentTest\documentsGeneres\image_100Ko.jpg</t>
  </si>
  <si>
    <t>\\Dehapp001\ged\GED_BATCH_LDU50_TRAVAIL\excelLotGenerateur\DocumentTest\documentsGeneres\2P_200Ko.pdf</t>
  </si>
  <si>
    <t>\\Dehapp001\ged\GED_BATCH_LDU50_TRAVAIL\excelLotGenerateur\DocumentTest\documentsGeneres\1P_250Ko.pdf</t>
  </si>
  <si>
    <t>\\Dehapp001\ged\GED_BATCH_LDU50_TRAVAIL\excelLotGenerateur\DocumentTest\documentsGeneres\image_250Ko.jpg</t>
  </si>
  <si>
    <t>\\Dehapp001\ged\GED_BATCH_LDU50_TRAVAIL\excelLotGenerateur\DocumentTest\documentsGeneres\1_img_375Ko.eml</t>
  </si>
  <si>
    <t>\\Dehapp001\ged\GED_BATCH_LDU50_TRAVAIL\excelLotGenerateur\DocumentTest\documentsGeneres\4P_400Ko.pdf</t>
  </si>
  <si>
    <t>\\Dehapp001\ged\GED_BATCH_LDU50_TRAVAIL\excelLotGenerateur\DocumentTest\documentsGeneres\1P_500Ko.pdf</t>
  </si>
  <si>
    <t>\\Dehapp001\ged\GED_BATCH_LDU50_TRAVAIL\excelLotGenerateur\DocumentTest\documentsGeneres\2P_500Ko.pdf</t>
  </si>
  <si>
    <t>\\Dehapp001\ged\GED_BATCH_LDU50_TRAVAIL\excelLotGenerateur\DocumentTest\documentsGeneres\image_500Ko.jpg</t>
  </si>
  <si>
    <t>\\Dehapp001\ged\GED_BATCH_LDU50_TRAVAIL\excelLotGenerateur\DocumentTest\documentsGeneres\3_img_650Ko.eml</t>
  </si>
  <si>
    <t>\\Dehapp001\ged\GED_BATCH_LDU50_TRAVAIL\excelLotGenerateur\DocumentTest\documentsGeneres\1P_750Ko.pdf</t>
  </si>
  <si>
    <t>\\Dehapp001\ged\GED_BATCH_LDU50_TRAVAIL\excelLotGenerateur\DocumentTest\documentsGeneres\1_doc_S_750Ko.eml</t>
  </si>
  <si>
    <t>\\Dehapp001\ged\GED_BATCH_LDU50_TRAVAIL\excelLotGenerateur\DocumentTest\documentsGeneres\image_750Ko.jpg</t>
  </si>
  <si>
    <t>\\Dehapp001\ged\GED_BATCH_LDU50_TRAVAIL\excelLotGenerateur\DocumentTest\documentsGeneres\1P_1,0Mo.pdf</t>
  </si>
  <si>
    <t>\\Dehapp001\ged\GED_BATCH_LDU50_TRAVAIL\excelLotGenerateur\DocumentTest\documentsGeneres\2P_1,0Mo.pdf</t>
  </si>
  <si>
    <t>\\Dehapp001\ged\GED_BATCH_LDU50_TRAVAIL\excelLotGenerateur\DocumentTest\documentsGeneres\4P_1,0Mo.pdf</t>
  </si>
  <si>
    <t>\\Dehapp001\ged\GED_BATCH_LDU50_TRAVAIL\excelLotGenerateur\DocumentTest\documentsGeneres\10P_1,0Mo.pdf</t>
  </si>
  <si>
    <t>\\Dehapp001\ged\GED_BATCH_LDU50_TRAVAIL\excelLotGenerateur\DocumentTest\documentsGeneres\image_1Mo.jpg</t>
  </si>
  <si>
    <t>\\Dehapp001\ged\GED_BATCH_LDU50_TRAVAIL\excelLotGenerateur\DocumentTest\documentsGeneres\1P_1,5Mo.pdf</t>
  </si>
  <si>
    <t>\\Dehapp001\ged\GED_BATCH_LDU50_TRAVAIL\excelLotGenerateur\DocumentTest\documentsGeneres\2P_1,5Mo.pdf</t>
  </si>
  <si>
    <t>\\Dehapp001\ged\GED_BATCH_LDU50_TRAVAIL\excelLotGenerateur\DocumentTest\documentsGeneres\1_doc_2_img_1,5Mo.eml</t>
  </si>
  <si>
    <t>\\Dehapp001\ged\GED_BATCH_LDU50_TRAVAIL\excelLotGenerateur\DocumentTest\documentsGeneres\image_1,5Mo.jpg</t>
  </si>
  <si>
    <t>\\Dehapp001\ged\GED_BATCH_LDU50_TRAVAIL\excelLotGenerateur\DocumentTest\documentsGeneres\1P_2,0Mo.pdf</t>
  </si>
  <si>
    <t>\\Dehapp001\ged\GED_BATCH_LDU50_TRAVAIL\excelLotGenerateur\DocumentTest\documentsGeneres\2P_2,0Mo.pdf</t>
  </si>
  <si>
    <t>\\Dehapp001\ged\GED_BATCH_LDU50_TRAVAIL\excelLotGenerateur\DocumentTest\documentsGeneres\4P_2,0Mo.pdf</t>
  </si>
  <si>
    <t>\\Dehapp001\ged\GED_BATCH_LDU50_TRAVAIL\excelLotGenerateur\DocumentTest\documentsGeneres\20P_2,0Mo.pdf</t>
  </si>
  <si>
    <t>\\Dehapp001\ged\GED_BATCH_LDU50_TRAVAIL\excelLotGenerateur\DocumentTest\documentsGeneres\image_2Mo.jpg</t>
  </si>
  <si>
    <t>\\Dehapp001\ged\GED_BATCH_LDU50_TRAVAIL\excelLotGenerateur\DocumentTest\documentsGeneres\2P_3,0Mo.pdf</t>
  </si>
  <si>
    <t>\\Dehapp001\ged\GED_BATCH_LDU50_TRAVAIL\excelLotGenerateur\DocumentTest\documentsGeneres\4P_3,0Mo.pdf</t>
  </si>
  <si>
    <t>\\Dehapp001\ged\GED_BATCH_LDU50_TRAVAIL\excelLotGenerateur\DocumentTest\documentsGeneres\2P_4,0Mo.pdf</t>
  </si>
  <si>
    <t>\\Dehapp001\ged\GED_BATCH_LDU50_TRAVAIL\excelLotGenerateur\DocumentTest\documentsGeneres\4P_4,0Mo.pdf</t>
  </si>
  <si>
    <t>\\Dehapp001\ged\GED_BATCH_LDU50_TRAVAIL\excelLotGenerateur\DocumentTest\documentsGeneres\1_doc_L_4Mo.eml</t>
  </si>
  <si>
    <t>\\Dehapp001\ged\GED_BATCH_LDU50_TRAVAIL\excelLotGenerateur\DocumentTest\documentsGeneres\4P_6,0Mo.pdf</t>
  </si>
  <si>
    <t>\\Dehapp001\ged\GED_BATCH_LDU50_TRAVAIL\excelLotGenerateur\DocumentTest\documentsGeneres\4P_8,0Mo.pdf</t>
  </si>
  <si>
    <t>\\Dehapp001\ged\GED_BATCH_LDU50_TRAVAIL\excelLotGenerateur\DocumentTest\documentsGeneres\10P_20,0Mo.pdf</t>
  </si>
  <si>
    <t>\\Dehapp001\ged\GED_BATCH_LDU50_TRAVAIL\excelLotGenerateur\DocumentTest\documentsGeneres\20P_40,0Mo.pdf</t>
  </si>
  <si>
    <t>\\Dehapp001\ged\GED_BATCH_LDU50_TRAVAIL\excelLotGenerateur\DocumentTest\documentsGeneres\40P_4,0Mo.pdf</t>
  </si>
  <si>
    <t>\\Dehapp001\ged\GED_BATCH_LDU50_TRAVAIL\excelLotGenerateur\DocumentTest\documentsGeneres\40P_20,0Mo.pdf</t>
  </si>
  <si>
    <t>\\Dehapp001\ged\GED_BATCH_LDU50_TRAVAIL\excelLotGenerateur\DocumentTest\documentsGeneres\40P_80,0Mo.pdf</t>
  </si>
  <si>
    <t>\\Dehapp001\ged\GED_BATCH_LDU50_TRAVAIL\excelLotGenerateur\DocumentTest\documentsGeneres\50P_5,0Mo.pdf</t>
  </si>
  <si>
    <t>\\Dehapp001\ged\GED_BATCH_LDU50_TRAVAIL\excelLotGenerateur\DocumentTest\documentsGeneres\50P_25,0Mo.pdf</t>
  </si>
  <si>
    <t>\\Dehapp001\ged\GED_BATCH_LDU50_TRAVAIL\excelLotGenerateur\DocumentTest\documentsGeneres\50P_100,0Mo.pdf</t>
  </si>
  <si>
    <t>adresseMailDestinatrice</t>
  </si>
  <si>
    <t>ucRachProg</t>
  </si>
  <si>
    <t>0023</t>
  </si>
  <si>
    <t>SKR</t>
  </si>
  <si>
    <t>ageSC</t>
  </si>
  <si>
    <t>estimationDuRisque</t>
  </si>
  <si>
    <t>plus2OriginesFonds</t>
  </si>
  <si>
    <t>montant</t>
  </si>
  <si>
    <t>numContratExterne</t>
  </si>
  <si>
    <t>secteurActiviteSC</t>
  </si>
  <si>
    <t>paysAssureSC</t>
  </si>
  <si>
    <t>personneMajeureSousMesuredeProtectionSC</t>
  </si>
  <si>
    <t>reglement</t>
  </si>
  <si>
    <t>paysResFiscaleSC</t>
  </si>
  <si>
    <t>emailAssure</t>
  </si>
  <si>
    <t>secteurActivite</t>
  </si>
  <si>
    <t>trancheRevenusSC</t>
  </si>
  <si>
    <t>civilite</t>
  </si>
  <si>
    <t>nationalite</t>
  </si>
  <si>
    <t>categorieProduitSC</t>
  </si>
  <si>
    <t>montantSC</t>
  </si>
  <si>
    <t>origineFonds</t>
  </si>
  <si>
    <t>scoringClient</t>
  </si>
  <si>
    <t>produit</t>
  </si>
  <si>
    <t>tranchePatrimoine</t>
  </si>
  <si>
    <t>tranchePatrimoineSC</t>
  </si>
  <si>
    <t>trancheRevenus</t>
  </si>
  <si>
    <t>paysAssure</t>
  </si>
  <si>
    <t>personnePolitiquExposee</t>
  </si>
  <si>
    <t>categorieProduit</t>
  </si>
  <si>
    <t>nationaliteSC</t>
  </si>
  <si>
    <t>codeApporteurSC</t>
  </si>
  <si>
    <t>personnePolitiquExposeeSC</t>
  </si>
  <si>
    <t>PersonneMajeureSousMesureDeProtection</t>
  </si>
  <si>
    <t>typePayeur</t>
  </si>
  <si>
    <t>PaysResFiscale</t>
  </si>
  <si>
    <t>0020137133001</t>
  </si>
  <si>
    <t>94WW7800</t>
  </si>
  <si>
    <t>nouvelIBAN</t>
  </si>
  <si>
    <t>20251126_151422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</si>
</sst>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sz val="16"/>
      <name val="Cambria"/>
      <family val="1"/>
    </font>
    <font>
      <sz val="14"/>
      <name val="Arial"/>
      <family val="2"/>
    </font>
    <font>
      <b/>
      <sz val="11"/>
      <color indexed="17"/>
      <name val="Calibri"/>
      <family val="2"/>
    </font>
    <font>
      <b/>
      <sz val="12"/>
      <color indexed="17"/>
      <name val="Calibri"/>
      <family val="2"/>
    </font>
    <font>
      <u/>
      <sz val="10"/>
      <color indexed="12"/>
      <name val="Arial"/>
      <family val="2"/>
    </font>
    <font>
      <sz val="22"/>
      <color indexed="10"/>
      <name val="Calibri"/>
      <family val="2"/>
    </font>
    <font>
      <b/>
      <sz val="12"/>
      <color rgb="FF000000"/>
      <name val="Arial"/>
      <family val="2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0"/>
      <color theme="0"/>
      <name val="Arial"/>
      <family val="2"/>
    </font>
    <font>
      <sz val="11"/>
      <color theme="0"/>
      <name val="Calibri"/>
      <family val="2"/>
    </font>
    <font>
      <b/>
      <u/>
      <sz val="8"/>
      <name val="Arial"/>
      <family val="2"/>
    </font>
    <font>
      <b/>
      <i/>
      <u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E7FDEE"/>
        <bgColor indexed="64"/>
      </patternFill>
    </fill>
    <fill>
      <patternFill patternType="solid">
        <fgColor theme="5"/>
      </patternFill>
    </fill>
    <fill>
      <patternFill patternType="solid">
        <fgColor theme="5" tint="0.74999237037263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99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6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20" borderId="1" applyNumberFormat="0" applyAlignment="0" applyProtection="0"/>
    <xf numFmtId="0" fontId="10" fillId="0" borderId="2" applyNumberFormat="0" applyFill="0" applyAlignment="0" applyProtection="0"/>
    <xf numFmtId="0" fontId="5" fillId="21" borderId="3" applyNumberFormat="0" applyFont="0" applyAlignment="0" applyProtection="0"/>
    <xf numFmtId="0" fontId="11" fillId="7" borderId="1" applyNumberFormat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14" fillId="4" borderId="0" applyNumberFormat="0" applyBorder="0" applyAlignment="0" applyProtection="0"/>
    <xf numFmtId="0" fontId="15" fillId="20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8" applyNumberFormat="0" applyFill="0" applyAlignment="0" applyProtection="0"/>
    <xf numFmtId="0" fontId="22" fillId="23" borderId="9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10" fillId="0" borderId="2" applyNumberFormat="0" applyFill="0" applyAlignment="0" applyProtection="0"/>
    <xf numFmtId="0" fontId="10" fillId="0" borderId="2" applyNumberFormat="0" applyFill="0" applyAlignment="0" applyProtection="0"/>
    <xf numFmtId="0" fontId="10" fillId="0" borderId="2" applyNumberFormat="0" applyFill="0" applyAlignment="0" applyProtection="0"/>
    <xf numFmtId="0" fontId="10" fillId="0" borderId="2" applyNumberFormat="0" applyFill="0" applyAlignment="0" applyProtection="0"/>
    <xf numFmtId="0" fontId="10" fillId="0" borderId="2" applyNumberFormat="0" applyFill="0" applyAlignment="0" applyProtection="0"/>
    <xf numFmtId="0" fontId="10" fillId="0" borderId="2" applyNumberFormat="0" applyFill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11" fillId="7" borderId="1" applyNumberFormat="0" applyAlignment="0" applyProtection="0"/>
    <xf numFmtId="0" fontId="11" fillId="7" borderId="1" applyNumberFormat="0" applyAlignment="0" applyProtection="0"/>
    <xf numFmtId="0" fontId="11" fillId="7" borderId="1" applyNumberFormat="0" applyAlignment="0" applyProtection="0"/>
    <xf numFmtId="0" fontId="11" fillId="7" borderId="1" applyNumberFormat="0" applyAlignment="0" applyProtection="0"/>
    <xf numFmtId="0" fontId="11" fillId="7" borderId="1" applyNumberFormat="0" applyAlignment="0" applyProtection="0"/>
    <xf numFmtId="0" fontId="11" fillId="7" borderId="1" applyNumberFormat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5" fillId="20" borderId="4" applyNumberFormat="0" applyAlignment="0" applyProtection="0"/>
    <xf numFmtId="0" fontId="15" fillId="20" borderId="4" applyNumberFormat="0" applyAlignment="0" applyProtection="0"/>
    <xf numFmtId="0" fontId="15" fillId="20" borderId="4" applyNumberFormat="0" applyAlignment="0" applyProtection="0"/>
    <xf numFmtId="0" fontId="15" fillId="20" borderId="4" applyNumberFormat="0" applyAlignment="0" applyProtection="0"/>
    <xf numFmtId="0" fontId="15" fillId="20" borderId="4" applyNumberFormat="0" applyAlignment="0" applyProtection="0"/>
    <xf numFmtId="0" fontId="15" fillId="20" borderId="4" applyNumberFormat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2" fillId="23" borderId="9" applyNumberFormat="0" applyAlignment="0" applyProtection="0"/>
    <xf numFmtId="0" fontId="22" fillId="23" borderId="9" applyNumberFormat="0" applyAlignment="0" applyProtection="0"/>
    <xf numFmtId="0" fontId="22" fillId="23" borderId="9" applyNumberFormat="0" applyAlignment="0" applyProtection="0"/>
    <xf numFmtId="0" fontId="22" fillId="23" borderId="9" applyNumberFormat="0" applyAlignment="0" applyProtection="0"/>
    <xf numFmtId="0" fontId="22" fillId="23" borderId="9" applyNumberFormat="0" applyAlignment="0" applyProtection="0"/>
    <xf numFmtId="0" fontId="22" fillId="23" borderId="9" applyNumberFormat="0" applyAlignment="0" applyProtection="0"/>
    <xf numFmtId="0" fontId="1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20" borderId="1" applyNumberFormat="0" applyAlignment="0" applyProtection="0"/>
    <xf numFmtId="0" fontId="10" fillId="0" borderId="2" applyNumberFormat="0" applyFill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5" fillId="21" borderId="3" applyNumberFormat="0" applyFont="0" applyAlignment="0" applyProtection="0"/>
    <xf numFmtId="0" fontId="33" fillId="30" borderId="0"/>
    <xf numFmtId="0" fontId="32" fillId="29" borderId="0"/>
    <xf numFmtId="0" fontId="11" fillId="7" borderId="1" applyNumberFormat="0" applyAlignment="0" applyProtection="0"/>
    <xf numFmtId="0" fontId="12" fillId="3" borderId="0" applyNumberFormat="0" applyBorder="0" applyAlignment="0" applyProtection="0"/>
    <xf numFmtId="0" fontId="34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3" fillId="22" borderId="0" applyNumberFormat="0" applyBorder="0" applyAlignment="0" applyProtection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4" borderId="0" applyNumberFormat="0" applyBorder="0" applyAlignment="0" applyProtection="0"/>
    <xf numFmtId="0" fontId="15" fillId="20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8" applyNumberFormat="0" applyFill="0" applyAlignment="0" applyProtection="0"/>
    <xf numFmtId="0" fontId="22" fillId="23" borderId="9" applyNumberFormat="0" applyAlignment="0" applyProtection="0"/>
  </cellStyleXfs>
  <cellXfs count="152">
    <xf numFmtId="0" fontId="0" fillId="0" borderId="0" xfId="0"/>
    <xf numFmtId="49" fontId="0" fillId="0" borderId="0" xfId="0" applyNumberFormat="1"/>
    <xf numFmtId="0" fontId="3" fillId="24" borderId="11" xfId="0" applyFont="1" applyFill="1" applyBorder="1"/>
    <xf numFmtId="0" fontId="3" fillId="25" borderId="11" xfId="0" applyFont="1" applyFill="1" applyBorder="1"/>
    <xf numFmtId="0" fontId="4" fillId="27" borderId="17" xfId="0" applyFont="1" applyFill="1" applyBorder="1" applyAlignment="1">
      <alignment horizontal="center" vertical="center" textRotation="90"/>
    </xf>
    <xf numFmtId="0" fontId="4" fillId="27" borderId="18" xfId="0" applyFont="1" applyFill="1" applyBorder="1" applyAlignment="1">
      <alignment horizontal="center" vertical="center" textRotation="90"/>
    </xf>
    <xf numFmtId="0" fontId="0" fillId="0" borderId="0" xfId="0" applyProtection="1">
      <protection hidden="1"/>
    </xf>
    <xf numFmtId="0" fontId="4" fillId="27" borderId="19" xfId="0" applyFont="1" applyFill="1" applyBorder="1" applyAlignment="1">
      <alignment horizontal="center" vertical="center" textRotation="90"/>
    </xf>
    <xf numFmtId="0" fontId="3" fillId="27" borderId="22" xfId="0" applyFont="1" applyFill="1" applyBorder="1"/>
    <xf numFmtId="0" fontId="5" fillId="0" borderId="0" xfId="0" applyFont="1"/>
    <xf numFmtId="0" fontId="23" fillId="0" borderId="0" xfId="0" applyFont="1" applyAlignment="1">
      <alignment horizontal="right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49" fontId="5" fillId="0" borderId="0" xfId="0" applyNumberFormat="1" applyFont="1"/>
    <xf numFmtId="0" fontId="4" fillId="28" borderId="18" xfId="0" applyFont="1" applyFill="1" applyBorder="1" applyAlignment="1">
      <alignment horizontal="center" vertical="center" textRotation="90"/>
    </xf>
    <xf numFmtId="0" fontId="0" fillId="24" borderId="13" xfId="0" applyFill="1" applyBorder="1"/>
    <xf numFmtId="0" fontId="0" fillId="24" borderId="14" xfId="0" applyFill="1" applyBorder="1"/>
    <xf numFmtId="0" fontId="0" fillId="25" borderId="13" xfId="0" applyFill="1" applyBorder="1"/>
    <xf numFmtId="0" fontId="0" fillId="27" borderId="13" xfId="0" applyFill="1" applyBorder="1"/>
    <xf numFmtId="0" fontId="0" fillId="27" borderId="14" xfId="0" applyFill="1" applyBorder="1"/>
    <xf numFmtId="0" fontId="0" fillId="26" borderId="13" xfId="0" applyFill="1" applyBorder="1"/>
    <xf numFmtId="0" fontId="0" fillId="26" borderId="14" xfId="0" applyFill="1" applyBorder="1"/>
    <xf numFmtId="0" fontId="0" fillId="26" borderId="15" xfId="0" applyFill="1" applyBorder="1"/>
    <xf numFmtId="0" fontId="3" fillId="27" borderId="11" xfId="0" applyFont="1" applyFill="1" applyBorder="1"/>
    <xf numFmtId="0" fontId="5" fillId="0" borderId="16" xfId="0" applyFont="1" applyBorder="1"/>
    <xf numFmtId="0" fontId="5" fillId="0" borderId="25" xfId="0" applyFont="1" applyBorder="1"/>
    <xf numFmtId="0" fontId="5" fillId="0" borderId="27" xfId="0" applyFont="1" applyBorder="1"/>
    <xf numFmtId="0" fontId="0" fillId="31" borderId="20" xfId="0" applyFill="1" applyBorder="1"/>
    <xf numFmtId="0" fontId="0" fillId="0" borderId="26" xfId="0" applyBorder="1"/>
    <xf numFmtId="0" fontId="36" fillId="32" borderId="0" xfId="0" applyFont="1" applyFill="1"/>
    <xf numFmtId="0" fontId="3" fillId="26" borderId="21" xfId="0" applyFont="1" applyFill="1" applyBorder="1"/>
    <xf numFmtId="0" fontId="3" fillId="26" borderId="22" xfId="0" applyFont="1" applyFill="1" applyBorder="1"/>
    <xf numFmtId="0" fontId="3" fillId="26" borderId="29" xfId="0" applyFont="1" applyFill="1" applyBorder="1"/>
    <xf numFmtId="0" fontId="5" fillId="26" borderId="30" xfId="0" applyFont="1" applyFill="1" applyBorder="1"/>
    <xf numFmtId="0" fontId="0" fillId="26" borderId="31" xfId="0" applyFill="1" applyBorder="1"/>
    <xf numFmtId="0" fontId="5" fillId="26" borderId="32" xfId="0" applyFont="1" applyFill="1" applyBorder="1"/>
    <xf numFmtId="0" fontId="36" fillId="32" borderId="33" xfId="0" applyFont="1" applyFill="1" applyBorder="1"/>
    <xf numFmtId="0" fontId="36" fillId="32" borderId="28" xfId="0" applyFont="1" applyFill="1" applyBorder="1"/>
    <xf numFmtId="0" fontId="36" fillId="32" borderId="34" xfId="0" applyFont="1" applyFill="1" applyBorder="1"/>
    <xf numFmtId="0" fontId="5" fillId="31" borderId="35" xfId="0" applyFont="1" applyFill="1" applyBorder="1"/>
    <xf numFmtId="0" fontId="0" fillId="0" borderId="36" xfId="0" applyBorder="1"/>
    <xf numFmtId="0" fontId="38" fillId="24" borderId="17" xfId="0" applyFont="1" applyFill="1" applyBorder="1" applyAlignment="1">
      <alignment horizontal="center" vertical="center" textRotation="90"/>
    </xf>
    <xf numFmtId="0" fontId="38" fillId="24" borderId="18" xfId="0" applyFont="1" applyFill="1" applyBorder="1" applyAlignment="1">
      <alignment horizontal="center" vertical="center" textRotation="90"/>
    </xf>
    <xf numFmtId="0" fontId="38" fillId="25" borderId="17" xfId="0" applyFont="1" applyFill="1" applyBorder="1" applyAlignment="1">
      <alignment horizontal="center" vertical="center" textRotation="90"/>
    </xf>
    <xf numFmtId="0" fontId="38" fillId="27" borderId="17" xfId="0" applyFont="1" applyFill="1" applyBorder="1" applyAlignment="1">
      <alignment horizontal="center" vertical="center" textRotation="90"/>
    </xf>
    <xf numFmtId="0" fontId="39" fillId="24" borderId="11" xfId="0" applyFont="1" applyFill="1" applyBorder="1"/>
    <xf numFmtId="0" fontId="39" fillId="25" borderId="10" xfId="0" applyFont="1" applyFill="1" applyBorder="1"/>
    <xf numFmtId="0" fontId="39" fillId="27" borderId="21" xfId="0" applyFont="1" applyFill="1" applyBorder="1"/>
    <xf numFmtId="0" fontId="39" fillId="24" borderId="10" xfId="0" applyFont="1" applyFill="1" applyBorder="1" applyAlignment="1">
      <alignment horizontal="center"/>
    </xf>
    <xf numFmtId="49" fontId="37" fillId="32" borderId="28" xfId="5" applyNumberFormat="1" applyFont="1" applyFill="1" applyBorder="1" applyAlignment="1">
      <alignment horizontal="left" vertical="top" wrapText="1"/>
    </xf>
    <xf numFmtId="49" fontId="36" fillId="32" borderId="28" xfId="0" applyNumberFormat="1" applyFont="1" applyFill="1" applyBorder="1"/>
    <xf numFmtId="49" fontId="36" fillId="32" borderId="28" xfId="0" quotePrefix="1" applyNumberFormat="1" applyFont="1" applyFill="1" applyBorder="1"/>
    <xf numFmtId="0" fontId="3" fillId="24" borderId="17" xfId="0" applyFont="1" applyFill="1" applyBorder="1" applyAlignment="1">
      <alignment horizontal="center" vertical="center" wrapText="1"/>
    </xf>
    <xf numFmtId="0" fontId="3" fillId="24" borderId="19" xfId="0" applyFont="1" applyFill="1" applyBorder="1" applyAlignment="1">
      <alignment horizontal="center" vertical="center" wrapText="1"/>
    </xf>
    <xf numFmtId="49" fontId="5" fillId="24" borderId="30" xfId="0" applyNumberFormat="1" applyFont="1" applyFill="1" applyBorder="1" applyAlignment="1">
      <alignment horizontal="left" vertical="top" wrapText="1"/>
    </xf>
    <xf numFmtId="49" fontId="5" fillId="24" borderId="32" xfId="0" applyNumberFormat="1" applyFont="1" applyFill="1" applyBorder="1" applyAlignment="1">
      <alignment horizontal="left" vertical="top" wrapText="1"/>
    </xf>
    <xf numFmtId="49" fontId="36" fillId="32" borderId="33" xfId="0" applyNumberFormat="1" applyFont="1" applyFill="1" applyBorder="1" applyAlignment="1">
      <alignment horizontal="left" vertical="top" wrapText="1"/>
    </xf>
    <xf numFmtId="49" fontId="36" fillId="32" borderId="34" xfId="0" applyNumberFormat="1" applyFont="1" applyFill="1" applyBorder="1" applyAlignment="1">
      <alignment horizontal="left" vertical="top" wrapText="1"/>
    </xf>
    <xf numFmtId="0" fontId="0" fillId="24" borderId="13" xfId="0" applyFill="1" applyBorder="1" applyAlignment="1">
      <alignment horizontal="left" vertical="top"/>
    </xf>
    <xf numFmtId="0" fontId="0" fillId="24" borderId="15" xfId="0" applyFill="1" applyBorder="1" applyAlignment="1">
      <alignment horizontal="left" vertical="top"/>
    </xf>
    <xf numFmtId="49" fontId="6" fillId="6" borderId="30" xfId="5" applyNumberFormat="1" applyBorder="1" applyAlignment="1">
      <alignment horizontal="left" vertical="top" wrapText="1"/>
    </xf>
    <xf numFmtId="49" fontId="6" fillId="6" borderId="31" xfId="5" applyNumberFormat="1" applyBorder="1" applyAlignment="1">
      <alignment horizontal="left" vertical="top" wrapText="1"/>
    </xf>
    <xf numFmtId="49" fontId="6" fillId="6" borderId="32" xfId="5" applyNumberFormat="1" applyBorder="1" applyAlignment="1">
      <alignment horizontal="left" vertical="top" wrapText="1"/>
    </xf>
    <xf numFmtId="49" fontId="37" fillId="32" borderId="33" xfId="5" applyNumberFormat="1" applyFont="1" applyFill="1" applyBorder="1" applyAlignment="1">
      <alignment horizontal="left" vertical="top" wrapText="1"/>
    </xf>
    <xf numFmtId="49" fontId="37" fillId="32" borderId="34" xfId="5" applyNumberFormat="1" applyFont="1" applyFill="1" applyBorder="1" applyAlignment="1">
      <alignment horizontal="left" vertical="top" wrapText="1"/>
    </xf>
    <xf numFmtId="0" fontId="6" fillId="6" borderId="13" xfId="5" applyBorder="1" applyAlignment="1">
      <alignment horizontal="left" vertical="top"/>
    </xf>
    <xf numFmtId="0" fontId="6" fillId="6" borderId="14" xfId="5" applyBorder="1" applyAlignment="1">
      <alignment horizontal="left" vertical="top"/>
    </xf>
    <xf numFmtId="0" fontId="6" fillId="6" borderId="15" xfId="5" applyBorder="1" applyAlignment="1">
      <alignment horizontal="left" vertical="top"/>
    </xf>
    <xf numFmtId="0" fontId="28" fillId="4" borderId="17" xfId="32" applyFont="1" applyBorder="1" applyAlignment="1">
      <alignment horizontal="center" vertical="center" wrapText="1"/>
    </xf>
    <xf numFmtId="0" fontId="28" fillId="4" borderId="19" xfId="32" applyFont="1" applyBorder="1" applyAlignment="1">
      <alignment horizontal="center" vertical="center" wrapText="1"/>
    </xf>
    <xf numFmtId="49" fontId="14" fillId="4" borderId="30" xfId="32" applyNumberFormat="1" applyBorder="1"/>
    <xf numFmtId="49" fontId="14" fillId="4" borderId="32" xfId="32" applyNumberFormat="1" applyBorder="1"/>
    <xf numFmtId="49" fontId="37" fillId="32" borderId="33" xfId="32" applyNumberFormat="1" applyFont="1" applyFill="1" applyBorder="1"/>
    <xf numFmtId="49" fontId="37" fillId="32" borderId="34" xfId="32" applyNumberFormat="1" applyFont="1" applyFill="1" applyBorder="1"/>
    <xf numFmtId="0" fontId="14" fillId="4" borderId="13" xfId="32" applyBorder="1"/>
    <xf numFmtId="0" fontId="14" fillId="4" borderId="15" xfId="32" applyBorder="1"/>
    <xf numFmtId="0" fontId="38" fillId="24" borderId="19" xfId="0" applyFont="1" applyFill="1" applyBorder="1" applyAlignment="1">
      <alignment horizontal="center" vertical="center" textRotation="90"/>
    </xf>
    <xf numFmtId="49" fontId="0" fillId="24" borderId="30" xfId="0" applyNumberFormat="1" applyFill="1" applyBorder="1"/>
    <xf numFmtId="49" fontId="5" fillId="24" borderId="31" xfId="0" applyNumberFormat="1" applyFont="1" applyFill="1" applyBorder="1"/>
    <xf numFmtId="49" fontId="0" fillId="24" borderId="32" xfId="0" applyNumberFormat="1" applyFill="1" applyBorder="1"/>
    <xf numFmtId="49" fontId="36" fillId="32" borderId="33" xfId="0" applyNumberFormat="1" applyFont="1" applyFill="1" applyBorder="1"/>
    <xf numFmtId="49" fontId="36" fillId="32" borderId="34" xfId="0" applyNumberFormat="1" applyFont="1" applyFill="1" applyBorder="1"/>
    <xf numFmtId="0" fontId="0" fillId="24" borderId="15" xfId="0" applyFill="1" applyBorder="1"/>
    <xf numFmtId="0" fontId="38" fillId="25" borderId="19" xfId="0" applyFont="1" applyFill="1" applyBorder="1" applyAlignment="1">
      <alignment horizontal="center" vertical="center" textRotation="90"/>
    </xf>
    <xf numFmtId="0" fontId="0" fillId="25" borderId="15" xfId="0" applyFill="1" applyBorder="1"/>
    <xf numFmtId="49" fontId="5" fillId="27" borderId="30" xfId="0" applyNumberFormat="1" applyFont="1" applyFill="1" applyBorder="1"/>
    <xf numFmtId="0" fontId="5" fillId="27" borderId="31" xfId="0" applyFont="1" applyFill="1" applyBorder="1"/>
    <xf numFmtId="0" fontId="0" fillId="27" borderId="31" xfId="0" applyFill="1" applyBorder="1"/>
    <xf numFmtId="49" fontId="5" fillId="27" borderId="31" xfId="0" quotePrefix="1" applyNumberFormat="1" applyFont="1" applyFill="1" applyBorder="1"/>
    <xf numFmtId="49" fontId="5" fillId="27" borderId="31" xfId="0" applyNumberFormat="1" applyFont="1" applyFill="1" applyBorder="1"/>
    <xf numFmtId="0" fontId="38" fillId="33" borderId="17" xfId="0" applyFont="1" applyFill="1" applyBorder="1" applyAlignment="1">
      <alignment horizontal="center" vertical="center" textRotation="90"/>
    </xf>
    <xf numFmtId="0" fontId="4" fillId="33" borderId="18" xfId="0" applyFont="1" applyFill="1" applyBorder="1" applyAlignment="1">
      <alignment horizontal="center" vertical="center" textRotation="90"/>
    </xf>
    <xf numFmtId="0" fontId="38" fillId="33" borderId="19" xfId="0" applyFont="1" applyFill="1" applyBorder="1" applyAlignment="1">
      <alignment horizontal="center" vertical="center" textRotation="90"/>
    </xf>
    <xf numFmtId="0" fontId="4" fillId="28" borderId="17" xfId="0" applyFont="1" applyFill="1" applyBorder="1" applyAlignment="1">
      <alignment horizontal="center" vertical="center" textRotation="90"/>
    </xf>
    <xf numFmtId="0" fontId="4" fillId="28" borderId="19" xfId="0" applyFont="1" applyFill="1" applyBorder="1" applyAlignment="1">
      <alignment horizontal="center" vertical="center" textRotation="90"/>
    </xf>
    <xf numFmtId="49" fontId="0" fillId="28" borderId="30" xfId="0" applyNumberFormat="1" applyFill="1" applyBorder="1"/>
    <xf numFmtId="49" fontId="0" fillId="28" borderId="31" xfId="0" applyNumberFormat="1" applyFill="1" applyBorder="1"/>
    <xf numFmtId="49" fontId="0" fillId="28" borderId="32" xfId="0" applyNumberFormat="1" applyFill="1" applyBorder="1"/>
    <xf numFmtId="49" fontId="36" fillId="32" borderId="13" xfId="0" applyNumberFormat="1" applyFont="1" applyFill="1" applyBorder="1"/>
    <xf numFmtId="49" fontId="36" fillId="32" borderId="14" xfId="0" applyNumberFormat="1" applyFont="1" applyFill="1" applyBorder="1"/>
    <xf numFmtId="49" fontId="36" fillId="32" borderId="15" xfId="0" applyNumberFormat="1" applyFont="1" applyFill="1" applyBorder="1"/>
    <xf numFmtId="0" fontId="0" fillId="0" borderId="35" xfId="0" applyBorder="1"/>
    <xf numFmtId="0" fontId="0" fillId="0" borderId="37" xfId="0" applyBorder="1"/>
    <xf numFmtId="0" fontId="5" fillId="0" borderId="37" xfId="0" applyFont="1" applyBorder="1"/>
    <xf numFmtId="0" fontId="0" fillId="0" borderId="16" xfId="0" applyBorder="1"/>
    <xf numFmtId="0" fontId="5" fillId="0" borderId="26" xfId="0" applyFont="1" applyBorder="1"/>
    <xf numFmtId="0" fontId="0" fillId="31" borderId="35" xfId="0" applyFill="1" applyBorder="1"/>
    <xf numFmtId="0" fontId="5" fillId="0" borderId="36" xfId="0" applyFont="1" applyBorder="1"/>
    <xf numFmtId="49" fontId="5" fillId="24" borderId="38" xfId="0" applyNumberFormat="1" applyFont="1" applyFill="1" applyBorder="1" applyAlignment="1">
      <alignment horizontal="left" vertical="top" wrapText="1"/>
    </xf>
    <xf numFmtId="49" fontId="5" fillId="24" borderId="39" xfId="0" applyNumberFormat="1" applyFont="1" applyFill="1" applyBorder="1" applyAlignment="1">
      <alignment horizontal="left" vertical="top" wrapText="1"/>
    </xf>
    <xf numFmtId="49" fontId="6" fillId="6" borderId="38" xfId="5" applyNumberFormat="1" applyBorder="1" applyAlignment="1">
      <alignment horizontal="left" vertical="top" wrapText="1"/>
    </xf>
    <xf numFmtId="49" fontId="6" fillId="6" borderId="40" xfId="5" applyNumberFormat="1" applyBorder="1" applyAlignment="1">
      <alignment horizontal="left" vertical="top" wrapText="1"/>
    </xf>
    <xf numFmtId="49" fontId="6" fillId="6" borderId="39" xfId="5" applyNumberFormat="1" applyBorder="1" applyAlignment="1">
      <alignment horizontal="left" vertical="top" wrapText="1"/>
    </xf>
    <xf numFmtId="49" fontId="14" fillId="4" borderId="38" xfId="32" applyNumberFormat="1" applyBorder="1"/>
    <xf numFmtId="49" fontId="14" fillId="4" borderId="39" xfId="32" applyNumberFormat="1" applyBorder="1"/>
    <xf numFmtId="49" fontId="0" fillId="24" borderId="38" xfId="0" applyNumberFormat="1" applyFill="1" applyBorder="1"/>
    <xf numFmtId="49" fontId="5" fillId="24" borderId="40" xfId="0" applyNumberFormat="1" applyFont="1" applyFill="1" applyBorder="1"/>
    <xf numFmtId="49" fontId="0" fillId="24" borderId="39" xfId="0" applyNumberFormat="1" applyFill="1" applyBorder="1"/>
    <xf numFmtId="49" fontId="5" fillId="34" borderId="38" xfId="0" applyNumberFormat="1" applyFont="1" applyFill="1" applyBorder="1"/>
    <xf numFmtId="0" fontId="0" fillId="34" borderId="39" xfId="0" applyFill="1" applyBorder="1"/>
    <xf numFmtId="0" fontId="0" fillId="27" borderId="40" xfId="0" applyFill="1" applyBorder="1"/>
    <xf numFmtId="49" fontId="5" fillId="27" borderId="40" xfId="0" quotePrefix="1" applyNumberFormat="1" applyFont="1" applyFill="1" applyBorder="1"/>
    <xf numFmtId="49" fontId="0" fillId="27" borderId="40" xfId="0" applyNumberFormat="1" applyFill="1" applyBorder="1"/>
    <xf numFmtId="49" fontId="5" fillId="27" borderId="40" xfId="0" applyNumberFormat="1" applyFont="1" applyFill="1" applyBorder="1"/>
    <xf numFmtId="49" fontId="0" fillId="28" borderId="38" xfId="0" applyNumberFormat="1" applyFill="1" applyBorder="1"/>
    <xf numFmtId="49" fontId="0" fillId="28" borderId="40" xfId="0" applyNumberFormat="1" applyFill="1" applyBorder="1"/>
    <xf numFmtId="49" fontId="0" fillId="28" borderId="39" xfId="0" applyNumberFormat="1" applyFill="1" applyBorder="1"/>
    <xf numFmtId="0" fontId="4" fillId="27" borderId="11" xfId="0" applyFont="1" applyFill="1" applyBorder="1" applyAlignment="1">
      <alignment horizontal="center" vertical="center" textRotation="90"/>
    </xf>
    <xf numFmtId="49" fontId="0" fillId="27" borderId="41" xfId="0" applyNumberFormat="1" applyFill="1" applyBorder="1"/>
    <xf numFmtId="49" fontId="0" fillId="27" borderId="42" xfId="0" applyNumberFormat="1" applyFill="1" applyBorder="1"/>
    <xf numFmtId="49" fontId="36" fillId="32" borderId="43" xfId="0" applyNumberFormat="1" applyFont="1" applyFill="1" applyBorder="1"/>
    <xf numFmtId="0" fontId="0" fillId="27" borderId="44" xfId="0" applyFill="1" applyBorder="1"/>
    <xf numFmtId="0" fontId="5" fillId="27" borderId="40" xfId="0" quotePrefix="1" applyFont="1" applyFill="1" applyBorder="1"/>
    <xf numFmtId="49" fontId="5" fillId="27" borderId="38" xfId="0" applyNumberFormat="1" applyFont="1" applyFill="1" applyBorder="1"/>
    <xf numFmtId="0" fontId="5" fillId="27" borderId="40" xfId="0" applyFont="1" applyFill="1" applyBorder="1"/>
    <xf numFmtId="0" fontId="5" fillId="34" borderId="32" xfId="0" applyFont="1" applyFill="1" applyBorder="1"/>
    <xf numFmtId="0" fontId="14" fillId="21" borderId="3" xfId="28" applyFont="1" applyAlignment="1"/>
    <xf numFmtId="0" fontId="0" fillId="21" borderId="3" xfId="28" applyFont="1" applyAlignment="1"/>
    <xf numFmtId="49" fontId="24" fillId="24" borderId="10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  <xf numFmtId="0" fontId="14" fillId="21" borderId="23" xfId="28" applyFont="1" applyBorder="1" applyAlignment="1"/>
    <xf numFmtId="0" fontId="0" fillId="21" borderId="23" xfId="28" applyFont="1" applyBorder="1" applyAlignment="1"/>
    <xf numFmtId="0" fontId="24" fillId="25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0" fillId="0" borderId="10" xfId="189" applyFont="1" applyBorder="1" applyAlignment="1">
      <alignment horizontal="center" vertical="center"/>
    </xf>
    <xf numFmtId="0" fontId="30" fillId="0" borderId="11" xfId="189" applyFont="1" applyBorder="1" applyAlignment="1">
      <alignment horizontal="center"/>
    </xf>
    <xf numFmtId="0" fontId="30" fillId="0" borderId="12" xfId="189" applyFont="1" applyBorder="1" applyAlignment="1">
      <alignment horizontal="center"/>
    </xf>
    <xf numFmtId="0" fontId="24" fillId="25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/>
  </cellXfs>
  <cellStyles count="466">
    <cellStyle name="20 % - Accent1" xfId="1" builtinId="30" customBuiltin="1"/>
    <cellStyle name="20 % - Accent1 2" xfId="45" xr:uid="{00000000-0005-0000-0000-000001000000}"/>
    <cellStyle name="20 % - Accent1 3" xfId="46" xr:uid="{00000000-0005-0000-0000-000002000000}"/>
    <cellStyle name="20 % - Accent1 4" xfId="47" xr:uid="{00000000-0005-0000-0000-000003000000}"/>
    <cellStyle name="20 % - Accent1 5" xfId="48" xr:uid="{00000000-0005-0000-0000-000004000000}"/>
    <cellStyle name="20 % - Accent1 6" xfId="49" xr:uid="{00000000-0005-0000-0000-000005000000}"/>
    <cellStyle name="20 % - Accent1 7" xfId="50" xr:uid="{00000000-0005-0000-0000-000006000000}"/>
    <cellStyle name="20 % - Accent1 8" xfId="302" xr:uid="{00000000-0005-0000-0000-000007000000}"/>
    <cellStyle name="20 % - Accent2" xfId="2" builtinId="34" customBuiltin="1"/>
    <cellStyle name="20 % - Accent2 2" xfId="51" xr:uid="{00000000-0005-0000-0000-000009000000}"/>
    <cellStyle name="20 % - Accent2 3" xfId="52" xr:uid="{00000000-0005-0000-0000-00000A000000}"/>
    <cellStyle name="20 % - Accent2 4" xfId="53" xr:uid="{00000000-0005-0000-0000-00000B000000}"/>
    <cellStyle name="20 % - Accent2 5" xfId="54" xr:uid="{00000000-0005-0000-0000-00000C000000}"/>
    <cellStyle name="20 % - Accent2 6" xfId="55" xr:uid="{00000000-0005-0000-0000-00000D000000}"/>
    <cellStyle name="20 % - Accent2 7" xfId="56" xr:uid="{00000000-0005-0000-0000-00000E000000}"/>
    <cellStyle name="20 % - Accent2 8" xfId="303" xr:uid="{00000000-0005-0000-0000-00000F000000}"/>
    <cellStyle name="20 % - Accent3" xfId="3" builtinId="38" customBuiltin="1"/>
    <cellStyle name="20 % - Accent3 2" xfId="57" xr:uid="{00000000-0005-0000-0000-000011000000}"/>
    <cellStyle name="20 % - Accent3 3" xfId="58" xr:uid="{00000000-0005-0000-0000-000012000000}"/>
    <cellStyle name="20 % - Accent3 4" xfId="59" xr:uid="{00000000-0005-0000-0000-000013000000}"/>
    <cellStyle name="20 % - Accent3 5" xfId="60" xr:uid="{00000000-0005-0000-0000-000014000000}"/>
    <cellStyle name="20 % - Accent3 6" xfId="61" xr:uid="{00000000-0005-0000-0000-000015000000}"/>
    <cellStyle name="20 % - Accent3 7" xfId="62" xr:uid="{00000000-0005-0000-0000-000016000000}"/>
    <cellStyle name="20 % - Accent3 8" xfId="304" xr:uid="{00000000-0005-0000-0000-000017000000}"/>
    <cellStyle name="20 % - Accent4" xfId="4" builtinId="42" customBuiltin="1"/>
    <cellStyle name="20 % - Accent4 2" xfId="63" xr:uid="{00000000-0005-0000-0000-000019000000}"/>
    <cellStyle name="20 % - Accent4 3" xfId="64" xr:uid="{00000000-0005-0000-0000-00001A000000}"/>
    <cellStyle name="20 % - Accent4 4" xfId="65" xr:uid="{00000000-0005-0000-0000-00001B000000}"/>
    <cellStyle name="20 % - Accent4 5" xfId="66" xr:uid="{00000000-0005-0000-0000-00001C000000}"/>
    <cellStyle name="20 % - Accent4 6" xfId="67" xr:uid="{00000000-0005-0000-0000-00001D000000}"/>
    <cellStyle name="20 % - Accent4 7" xfId="68" xr:uid="{00000000-0005-0000-0000-00001E000000}"/>
    <cellStyle name="20 % - Accent4 8" xfId="305" xr:uid="{00000000-0005-0000-0000-00001F000000}"/>
    <cellStyle name="20 % - Accent5" xfId="5" builtinId="46" customBuiltin="1"/>
    <cellStyle name="20 % - Accent5 2" xfId="69" xr:uid="{00000000-0005-0000-0000-000021000000}"/>
    <cellStyle name="20 % - Accent5 3" xfId="70" xr:uid="{00000000-0005-0000-0000-000022000000}"/>
    <cellStyle name="20 % - Accent5 4" xfId="71" xr:uid="{00000000-0005-0000-0000-000023000000}"/>
    <cellStyle name="20 % - Accent5 5" xfId="72" xr:uid="{00000000-0005-0000-0000-000024000000}"/>
    <cellStyle name="20 % - Accent5 6" xfId="73" xr:uid="{00000000-0005-0000-0000-000025000000}"/>
    <cellStyle name="20 % - Accent5 7" xfId="74" xr:uid="{00000000-0005-0000-0000-000026000000}"/>
    <cellStyle name="20 % - Accent5 8" xfId="306" xr:uid="{00000000-0005-0000-0000-000027000000}"/>
    <cellStyle name="20 % - Accent6" xfId="6" builtinId="50" customBuiltin="1"/>
    <cellStyle name="20 % - Accent6 2" xfId="75" xr:uid="{00000000-0005-0000-0000-000029000000}"/>
    <cellStyle name="20 % - Accent6 3" xfId="76" xr:uid="{00000000-0005-0000-0000-00002A000000}"/>
    <cellStyle name="20 % - Accent6 4" xfId="77" xr:uid="{00000000-0005-0000-0000-00002B000000}"/>
    <cellStyle name="20 % - Accent6 5" xfId="78" xr:uid="{00000000-0005-0000-0000-00002C000000}"/>
    <cellStyle name="20 % - Accent6 6" xfId="79" xr:uid="{00000000-0005-0000-0000-00002D000000}"/>
    <cellStyle name="20 % - Accent6 7" xfId="80" xr:uid="{00000000-0005-0000-0000-00002E000000}"/>
    <cellStyle name="20 % - Accent6 8" xfId="307" xr:uid="{00000000-0005-0000-0000-00002F000000}"/>
    <cellStyle name="40 % - Accent1" xfId="7" builtinId="31" customBuiltin="1"/>
    <cellStyle name="40 % - Accent1 2" xfId="81" xr:uid="{00000000-0005-0000-0000-000031000000}"/>
    <cellStyle name="40 % - Accent1 3" xfId="82" xr:uid="{00000000-0005-0000-0000-000032000000}"/>
    <cellStyle name="40 % - Accent1 4" xfId="83" xr:uid="{00000000-0005-0000-0000-000033000000}"/>
    <cellStyle name="40 % - Accent1 5" xfId="84" xr:uid="{00000000-0005-0000-0000-000034000000}"/>
    <cellStyle name="40 % - Accent1 6" xfId="85" xr:uid="{00000000-0005-0000-0000-000035000000}"/>
    <cellStyle name="40 % - Accent1 7" xfId="86" xr:uid="{00000000-0005-0000-0000-000036000000}"/>
    <cellStyle name="40 % - Accent1 8" xfId="308" xr:uid="{00000000-0005-0000-0000-000037000000}"/>
    <cellStyle name="40 % - Accent2" xfId="8" builtinId="35" customBuiltin="1"/>
    <cellStyle name="40 % - Accent2 2" xfId="87" xr:uid="{00000000-0005-0000-0000-000039000000}"/>
    <cellStyle name="40 % - Accent2 3" xfId="88" xr:uid="{00000000-0005-0000-0000-00003A000000}"/>
    <cellStyle name="40 % - Accent2 4" xfId="89" xr:uid="{00000000-0005-0000-0000-00003B000000}"/>
    <cellStyle name="40 % - Accent2 5" xfId="90" xr:uid="{00000000-0005-0000-0000-00003C000000}"/>
    <cellStyle name="40 % - Accent2 6" xfId="91" xr:uid="{00000000-0005-0000-0000-00003D000000}"/>
    <cellStyle name="40 % - Accent2 7" xfId="92" xr:uid="{00000000-0005-0000-0000-00003E000000}"/>
    <cellStyle name="40 % - Accent2 8" xfId="309" xr:uid="{00000000-0005-0000-0000-00003F000000}"/>
    <cellStyle name="40 % - Accent3" xfId="9" builtinId="39" customBuiltin="1"/>
    <cellStyle name="40 % - Accent3 2" xfId="93" xr:uid="{00000000-0005-0000-0000-000041000000}"/>
    <cellStyle name="40 % - Accent3 3" xfId="94" xr:uid="{00000000-0005-0000-0000-000042000000}"/>
    <cellStyle name="40 % - Accent3 4" xfId="95" xr:uid="{00000000-0005-0000-0000-000043000000}"/>
    <cellStyle name="40 % - Accent3 5" xfId="96" xr:uid="{00000000-0005-0000-0000-000044000000}"/>
    <cellStyle name="40 % - Accent3 6" xfId="97" xr:uid="{00000000-0005-0000-0000-000045000000}"/>
    <cellStyle name="40 % - Accent3 7" xfId="98" xr:uid="{00000000-0005-0000-0000-000046000000}"/>
    <cellStyle name="40 % - Accent3 8" xfId="310" xr:uid="{00000000-0005-0000-0000-000047000000}"/>
    <cellStyle name="40 % - Accent4" xfId="10" builtinId="43" customBuiltin="1"/>
    <cellStyle name="40 % - Accent4 2" xfId="99" xr:uid="{00000000-0005-0000-0000-000049000000}"/>
    <cellStyle name="40 % - Accent4 3" xfId="100" xr:uid="{00000000-0005-0000-0000-00004A000000}"/>
    <cellStyle name="40 % - Accent4 4" xfId="101" xr:uid="{00000000-0005-0000-0000-00004B000000}"/>
    <cellStyle name="40 % - Accent4 5" xfId="102" xr:uid="{00000000-0005-0000-0000-00004C000000}"/>
    <cellStyle name="40 % - Accent4 6" xfId="103" xr:uid="{00000000-0005-0000-0000-00004D000000}"/>
    <cellStyle name="40 % - Accent4 7" xfId="104" xr:uid="{00000000-0005-0000-0000-00004E000000}"/>
    <cellStyle name="40 % - Accent4 8" xfId="311" xr:uid="{00000000-0005-0000-0000-00004F000000}"/>
    <cellStyle name="40 % - Accent5" xfId="11" builtinId="47" customBuiltin="1"/>
    <cellStyle name="40 % - Accent5 2" xfId="105" xr:uid="{00000000-0005-0000-0000-000051000000}"/>
    <cellStyle name="40 % - Accent5 3" xfId="106" xr:uid="{00000000-0005-0000-0000-000052000000}"/>
    <cellStyle name="40 % - Accent5 4" xfId="107" xr:uid="{00000000-0005-0000-0000-000053000000}"/>
    <cellStyle name="40 % - Accent5 5" xfId="108" xr:uid="{00000000-0005-0000-0000-000054000000}"/>
    <cellStyle name="40 % - Accent5 6" xfId="109" xr:uid="{00000000-0005-0000-0000-000055000000}"/>
    <cellStyle name="40 % - Accent5 7" xfId="110" xr:uid="{00000000-0005-0000-0000-000056000000}"/>
    <cellStyle name="40 % - Accent5 8" xfId="312" xr:uid="{00000000-0005-0000-0000-000057000000}"/>
    <cellStyle name="40 % - Accent6" xfId="12" builtinId="51" customBuiltin="1"/>
    <cellStyle name="40 % - Accent6 2" xfId="111" xr:uid="{00000000-0005-0000-0000-000059000000}"/>
    <cellStyle name="40 % - Accent6 3" xfId="112" xr:uid="{00000000-0005-0000-0000-00005A000000}"/>
    <cellStyle name="40 % - Accent6 4" xfId="113" xr:uid="{00000000-0005-0000-0000-00005B000000}"/>
    <cellStyle name="40 % - Accent6 5" xfId="114" xr:uid="{00000000-0005-0000-0000-00005C000000}"/>
    <cellStyle name="40 % - Accent6 6" xfId="115" xr:uid="{00000000-0005-0000-0000-00005D000000}"/>
    <cellStyle name="40 % - Accent6 7" xfId="116" xr:uid="{00000000-0005-0000-0000-00005E000000}"/>
    <cellStyle name="40 % - Accent6 8" xfId="313" xr:uid="{00000000-0005-0000-0000-00005F000000}"/>
    <cellStyle name="60 % - Accent1" xfId="13" builtinId="32" customBuiltin="1"/>
    <cellStyle name="60 % - Accent1 2" xfId="117" xr:uid="{00000000-0005-0000-0000-000061000000}"/>
    <cellStyle name="60 % - Accent1 3" xfId="118" xr:uid="{00000000-0005-0000-0000-000062000000}"/>
    <cellStyle name="60 % - Accent1 4" xfId="119" xr:uid="{00000000-0005-0000-0000-000063000000}"/>
    <cellStyle name="60 % - Accent1 5" xfId="120" xr:uid="{00000000-0005-0000-0000-000064000000}"/>
    <cellStyle name="60 % - Accent1 6" xfId="121" xr:uid="{00000000-0005-0000-0000-000065000000}"/>
    <cellStyle name="60 % - Accent1 7" xfId="122" xr:uid="{00000000-0005-0000-0000-000066000000}"/>
    <cellStyle name="60 % - Accent1 8" xfId="314" xr:uid="{00000000-0005-0000-0000-000067000000}"/>
    <cellStyle name="60 % - Accent2" xfId="14" builtinId="36" customBuiltin="1"/>
    <cellStyle name="60 % - Accent2 2" xfId="123" xr:uid="{00000000-0005-0000-0000-000069000000}"/>
    <cellStyle name="60 % - Accent2 3" xfId="124" xr:uid="{00000000-0005-0000-0000-00006A000000}"/>
    <cellStyle name="60 % - Accent2 4" xfId="125" xr:uid="{00000000-0005-0000-0000-00006B000000}"/>
    <cellStyle name="60 % - Accent2 5" xfId="126" xr:uid="{00000000-0005-0000-0000-00006C000000}"/>
    <cellStyle name="60 % - Accent2 6" xfId="127" xr:uid="{00000000-0005-0000-0000-00006D000000}"/>
    <cellStyle name="60 % - Accent2 7" xfId="128" xr:uid="{00000000-0005-0000-0000-00006E000000}"/>
    <cellStyle name="60 % - Accent2 8" xfId="315" xr:uid="{00000000-0005-0000-0000-00006F000000}"/>
    <cellStyle name="60 % - Accent3" xfId="15" builtinId="40" customBuiltin="1"/>
    <cellStyle name="60 % - Accent3 2" xfId="129" xr:uid="{00000000-0005-0000-0000-000071000000}"/>
    <cellStyle name="60 % - Accent3 3" xfId="130" xr:uid="{00000000-0005-0000-0000-000072000000}"/>
    <cellStyle name="60 % - Accent3 4" xfId="131" xr:uid="{00000000-0005-0000-0000-000073000000}"/>
    <cellStyle name="60 % - Accent3 5" xfId="132" xr:uid="{00000000-0005-0000-0000-000074000000}"/>
    <cellStyle name="60 % - Accent3 6" xfId="133" xr:uid="{00000000-0005-0000-0000-000075000000}"/>
    <cellStyle name="60 % - Accent3 7" xfId="134" xr:uid="{00000000-0005-0000-0000-000076000000}"/>
    <cellStyle name="60 % - Accent3 8" xfId="316" xr:uid="{00000000-0005-0000-0000-000077000000}"/>
    <cellStyle name="60 % - Accent4" xfId="16" builtinId="44" customBuiltin="1"/>
    <cellStyle name="60 % - Accent4 2" xfId="135" xr:uid="{00000000-0005-0000-0000-000079000000}"/>
    <cellStyle name="60 % - Accent4 3" xfId="136" xr:uid="{00000000-0005-0000-0000-00007A000000}"/>
    <cellStyle name="60 % - Accent4 4" xfId="137" xr:uid="{00000000-0005-0000-0000-00007B000000}"/>
    <cellStyle name="60 % - Accent4 5" xfId="138" xr:uid="{00000000-0005-0000-0000-00007C000000}"/>
    <cellStyle name="60 % - Accent4 6" xfId="139" xr:uid="{00000000-0005-0000-0000-00007D000000}"/>
    <cellStyle name="60 % - Accent4 7" xfId="140" xr:uid="{00000000-0005-0000-0000-00007E000000}"/>
    <cellStyle name="60 % - Accent4 8" xfId="317" xr:uid="{00000000-0005-0000-0000-00007F000000}"/>
    <cellStyle name="60 % - Accent5" xfId="17" builtinId="48" customBuiltin="1"/>
    <cellStyle name="60 % - Accent5 2" xfId="141" xr:uid="{00000000-0005-0000-0000-000081000000}"/>
    <cellStyle name="60 % - Accent5 3" xfId="142" xr:uid="{00000000-0005-0000-0000-000082000000}"/>
    <cellStyle name="60 % - Accent5 4" xfId="143" xr:uid="{00000000-0005-0000-0000-000083000000}"/>
    <cellStyle name="60 % - Accent5 5" xfId="144" xr:uid="{00000000-0005-0000-0000-000084000000}"/>
    <cellStyle name="60 % - Accent5 6" xfId="145" xr:uid="{00000000-0005-0000-0000-000085000000}"/>
    <cellStyle name="60 % - Accent5 7" xfId="146" xr:uid="{00000000-0005-0000-0000-000086000000}"/>
    <cellStyle name="60 % - Accent5 8" xfId="318" xr:uid="{00000000-0005-0000-0000-000087000000}"/>
    <cellStyle name="60 % - Accent6" xfId="18" builtinId="52" customBuiltin="1"/>
    <cellStyle name="60 % - Accent6 2" xfId="147" xr:uid="{00000000-0005-0000-0000-000089000000}"/>
    <cellStyle name="60 % - Accent6 3" xfId="148" xr:uid="{00000000-0005-0000-0000-00008A000000}"/>
    <cellStyle name="60 % - Accent6 4" xfId="149" xr:uid="{00000000-0005-0000-0000-00008B000000}"/>
    <cellStyle name="60 % - Accent6 5" xfId="150" xr:uid="{00000000-0005-0000-0000-00008C000000}"/>
    <cellStyle name="60 % - Accent6 6" xfId="151" xr:uid="{00000000-0005-0000-0000-00008D000000}"/>
    <cellStyle name="60 % - Accent6 7" xfId="152" xr:uid="{00000000-0005-0000-0000-00008E000000}"/>
    <cellStyle name="60 % - Accent6 8" xfId="319" xr:uid="{00000000-0005-0000-0000-00008F000000}"/>
    <cellStyle name="Accent1" xfId="19" builtinId="29" customBuiltin="1"/>
    <cellStyle name="Accent1 2" xfId="153" xr:uid="{00000000-0005-0000-0000-000091000000}"/>
    <cellStyle name="Accent1 3" xfId="154" xr:uid="{00000000-0005-0000-0000-000092000000}"/>
    <cellStyle name="Accent1 4" xfId="155" xr:uid="{00000000-0005-0000-0000-000093000000}"/>
    <cellStyle name="Accent1 5" xfId="156" xr:uid="{00000000-0005-0000-0000-000094000000}"/>
    <cellStyle name="Accent1 6" xfId="157" xr:uid="{00000000-0005-0000-0000-000095000000}"/>
    <cellStyle name="Accent1 7" xfId="158" xr:uid="{00000000-0005-0000-0000-000096000000}"/>
    <cellStyle name="Accent1 8" xfId="320" xr:uid="{00000000-0005-0000-0000-000097000000}"/>
    <cellStyle name="Accent2" xfId="20" builtinId="33" customBuiltin="1"/>
    <cellStyle name="Accent2 2" xfId="159" xr:uid="{00000000-0005-0000-0000-000099000000}"/>
    <cellStyle name="Accent2 3" xfId="160" xr:uid="{00000000-0005-0000-0000-00009A000000}"/>
    <cellStyle name="Accent2 4" xfId="161" xr:uid="{00000000-0005-0000-0000-00009B000000}"/>
    <cellStyle name="Accent2 5" xfId="162" xr:uid="{00000000-0005-0000-0000-00009C000000}"/>
    <cellStyle name="Accent2 6" xfId="163" xr:uid="{00000000-0005-0000-0000-00009D000000}"/>
    <cellStyle name="Accent2 7" xfId="164" xr:uid="{00000000-0005-0000-0000-00009E000000}"/>
    <cellStyle name="Accent2 8" xfId="321" xr:uid="{00000000-0005-0000-0000-00009F000000}"/>
    <cellStyle name="Accent3" xfId="21" builtinId="37" customBuiltin="1"/>
    <cellStyle name="Accent3 2" xfId="165" xr:uid="{00000000-0005-0000-0000-0000A1000000}"/>
    <cellStyle name="Accent3 3" xfId="166" xr:uid="{00000000-0005-0000-0000-0000A2000000}"/>
    <cellStyle name="Accent3 4" xfId="167" xr:uid="{00000000-0005-0000-0000-0000A3000000}"/>
    <cellStyle name="Accent3 5" xfId="168" xr:uid="{00000000-0005-0000-0000-0000A4000000}"/>
    <cellStyle name="Accent3 6" xfId="169" xr:uid="{00000000-0005-0000-0000-0000A5000000}"/>
    <cellStyle name="Accent3 7" xfId="170" xr:uid="{00000000-0005-0000-0000-0000A6000000}"/>
    <cellStyle name="Accent3 8" xfId="322" xr:uid="{00000000-0005-0000-0000-0000A7000000}"/>
    <cellStyle name="Accent4" xfId="22" builtinId="41" customBuiltin="1"/>
    <cellStyle name="Accent4 2" xfId="171" xr:uid="{00000000-0005-0000-0000-0000A9000000}"/>
    <cellStyle name="Accent4 3" xfId="172" xr:uid="{00000000-0005-0000-0000-0000AA000000}"/>
    <cellStyle name="Accent4 4" xfId="173" xr:uid="{00000000-0005-0000-0000-0000AB000000}"/>
    <cellStyle name="Accent4 5" xfId="174" xr:uid="{00000000-0005-0000-0000-0000AC000000}"/>
    <cellStyle name="Accent4 6" xfId="175" xr:uid="{00000000-0005-0000-0000-0000AD000000}"/>
    <cellStyle name="Accent4 7" xfId="176" xr:uid="{00000000-0005-0000-0000-0000AE000000}"/>
    <cellStyle name="Accent4 8" xfId="323" xr:uid="{00000000-0005-0000-0000-0000AF000000}"/>
    <cellStyle name="Accent5" xfId="23" builtinId="45" customBuiltin="1"/>
    <cellStyle name="Accent5 2" xfId="177" xr:uid="{00000000-0005-0000-0000-0000B1000000}"/>
    <cellStyle name="Accent5 3" xfId="178" xr:uid="{00000000-0005-0000-0000-0000B2000000}"/>
    <cellStyle name="Accent5 4" xfId="179" xr:uid="{00000000-0005-0000-0000-0000B3000000}"/>
    <cellStyle name="Accent5 5" xfId="180" xr:uid="{00000000-0005-0000-0000-0000B4000000}"/>
    <cellStyle name="Accent5 6" xfId="181" xr:uid="{00000000-0005-0000-0000-0000B5000000}"/>
    <cellStyle name="Accent5 7" xfId="182" xr:uid="{00000000-0005-0000-0000-0000B6000000}"/>
    <cellStyle name="Accent5 8" xfId="324" xr:uid="{00000000-0005-0000-0000-0000B7000000}"/>
    <cellStyle name="Accent6" xfId="24" builtinId="49" customBuiltin="1"/>
    <cellStyle name="Accent6 2" xfId="183" xr:uid="{00000000-0005-0000-0000-0000B9000000}"/>
    <cellStyle name="Accent6 3" xfId="184" xr:uid="{00000000-0005-0000-0000-0000BA000000}"/>
    <cellStyle name="Accent6 4" xfId="185" xr:uid="{00000000-0005-0000-0000-0000BB000000}"/>
    <cellStyle name="Accent6 5" xfId="186" xr:uid="{00000000-0005-0000-0000-0000BC000000}"/>
    <cellStyle name="Accent6 6" xfId="187" xr:uid="{00000000-0005-0000-0000-0000BD000000}"/>
    <cellStyle name="Accent6 7" xfId="188" xr:uid="{00000000-0005-0000-0000-0000BE000000}"/>
    <cellStyle name="Accent6 8" xfId="325" xr:uid="{00000000-0005-0000-0000-0000BF000000}"/>
    <cellStyle name="Avertissement" xfId="25" builtinId="11" customBuiltin="1"/>
    <cellStyle name="Avertissement 2" xfId="189" xr:uid="{00000000-0005-0000-0000-0000C1000000}"/>
    <cellStyle name="Avertissement 3" xfId="190" xr:uid="{00000000-0005-0000-0000-0000C2000000}"/>
    <cellStyle name="Avertissement 4" xfId="191" xr:uid="{00000000-0005-0000-0000-0000C3000000}"/>
    <cellStyle name="Avertissement 5" xfId="192" xr:uid="{00000000-0005-0000-0000-0000C4000000}"/>
    <cellStyle name="Avertissement 6" xfId="193" xr:uid="{00000000-0005-0000-0000-0000C5000000}"/>
    <cellStyle name="Avertissement 7" xfId="194" xr:uid="{00000000-0005-0000-0000-0000C6000000}"/>
    <cellStyle name="Avertissement 8" xfId="326" xr:uid="{00000000-0005-0000-0000-0000C7000000}"/>
    <cellStyle name="Calcul" xfId="26" builtinId="22" customBuiltin="1"/>
    <cellStyle name="Calcul 2" xfId="195" xr:uid="{00000000-0005-0000-0000-0000C9000000}"/>
    <cellStyle name="Calcul 3" xfId="196" xr:uid="{00000000-0005-0000-0000-0000CA000000}"/>
    <cellStyle name="Calcul 4" xfId="197" xr:uid="{00000000-0005-0000-0000-0000CB000000}"/>
    <cellStyle name="Calcul 5" xfId="198" xr:uid="{00000000-0005-0000-0000-0000CC000000}"/>
    <cellStyle name="Calcul 6" xfId="199" xr:uid="{00000000-0005-0000-0000-0000CD000000}"/>
    <cellStyle name="Calcul 7" xfId="200" xr:uid="{00000000-0005-0000-0000-0000CE000000}"/>
    <cellStyle name="Calcul 8" xfId="327" xr:uid="{00000000-0005-0000-0000-0000CF000000}"/>
    <cellStyle name="Cellule liée" xfId="27" builtinId="24" customBuiltin="1"/>
    <cellStyle name="Cellule liée 2" xfId="201" xr:uid="{00000000-0005-0000-0000-0000D1000000}"/>
    <cellStyle name="Cellule liée 3" xfId="202" xr:uid="{00000000-0005-0000-0000-0000D2000000}"/>
    <cellStyle name="Cellule liée 4" xfId="203" xr:uid="{00000000-0005-0000-0000-0000D3000000}"/>
    <cellStyle name="Cellule liée 5" xfId="204" xr:uid="{00000000-0005-0000-0000-0000D4000000}"/>
    <cellStyle name="Cellule liée 6" xfId="205" xr:uid="{00000000-0005-0000-0000-0000D5000000}"/>
    <cellStyle name="Cellule liée 7" xfId="206" xr:uid="{00000000-0005-0000-0000-0000D6000000}"/>
    <cellStyle name="Cellule liée 8" xfId="328" xr:uid="{00000000-0005-0000-0000-0000D7000000}"/>
    <cellStyle name="Commentaire 10" xfId="329" xr:uid="{00000000-0005-0000-0000-0000D8000000}"/>
    <cellStyle name="Commentaire 10 2" xfId="330" xr:uid="{00000000-0005-0000-0000-0000D9000000}"/>
    <cellStyle name="Commentaire 2" xfId="207" xr:uid="{00000000-0005-0000-0000-0000DA000000}"/>
    <cellStyle name="Commentaire 2 2" xfId="208" xr:uid="{00000000-0005-0000-0000-0000DB000000}"/>
    <cellStyle name="Commentaire 3" xfId="209" xr:uid="{00000000-0005-0000-0000-0000DC000000}"/>
    <cellStyle name="Commentaire 3 2" xfId="210" xr:uid="{00000000-0005-0000-0000-0000DD000000}"/>
    <cellStyle name="Commentaire 4" xfId="211" xr:uid="{00000000-0005-0000-0000-0000DE000000}"/>
    <cellStyle name="Commentaire 4 2" xfId="212" xr:uid="{00000000-0005-0000-0000-0000DF000000}"/>
    <cellStyle name="Commentaire 5" xfId="213" xr:uid="{00000000-0005-0000-0000-0000E0000000}"/>
    <cellStyle name="Commentaire 6" xfId="214" xr:uid="{00000000-0005-0000-0000-0000E1000000}"/>
    <cellStyle name="Commentaire 6 2" xfId="331" xr:uid="{00000000-0005-0000-0000-0000E2000000}"/>
    <cellStyle name="Commentaire 7" xfId="215" xr:uid="{00000000-0005-0000-0000-0000E3000000}"/>
    <cellStyle name="Commentaire 7 2" xfId="332" xr:uid="{00000000-0005-0000-0000-0000E4000000}"/>
    <cellStyle name="Commentaire 8" xfId="333" xr:uid="{00000000-0005-0000-0000-0000E5000000}"/>
    <cellStyle name="Commentaire 9" xfId="334" xr:uid="{00000000-0005-0000-0000-0000E6000000}"/>
    <cellStyle name="Custom Style  1" xfId="335" xr:uid="{00000000-0005-0000-0000-0000E7000000}"/>
    <cellStyle name="Custom Style 2" xfId="336" xr:uid="{00000000-0005-0000-0000-0000E8000000}"/>
    <cellStyle name="Entrée" xfId="29" builtinId="20" customBuiltin="1"/>
    <cellStyle name="Entrée 2" xfId="216" xr:uid="{00000000-0005-0000-0000-0000EA000000}"/>
    <cellStyle name="Entrée 3" xfId="217" xr:uid="{00000000-0005-0000-0000-0000EB000000}"/>
    <cellStyle name="Entrée 4" xfId="218" xr:uid="{00000000-0005-0000-0000-0000EC000000}"/>
    <cellStyle name="Entrée 5" xfId="219" xr:uid="{00000000-0005-0000-0000-0000ED000000}"/>
    <cellStyle name="Entrée 6" xfId="220" xr:uid="{00000000-0005-0000-0000-0000EE000000}"/>
    <cellStyle name="Entrée 7" xfId="221" xr:uid="{00000000-0005-0000-0000-0000EF000000}"/>
    <cellStyle name="Entrée 8" xfId="337" xr:uid="{00000000-0005-0000-0000-0000F0000000}"/>
    <cellStyle name="Insatisfaisant" xfId="30" builtinId="27" customBuiltin="1"/>
    <cellStyle name="Insatisfaisant 2" xfId="222" xr:uid="{00000000-0005-0000-0000-0000F2000000}"/>
    <cellStyle name="Insatisfaisant 3" xfId="223" xr:uid="{00000000-0005-0000-0000-0000F3000000}"/>
    <cellStyle name="Insatisfaisant 4" xfId="224" xr:uid="{00000000-0005-0000-0000-0000F4000000}"/>
    <cellStyle name="Insatisfaisant 5" xfId="225" xr:uid="{00000000-0005-0000-0000-0000F5000000}"/>
    <cellStyle name="Insatisfaisant 6" xfId="226" xr:uid="{00000000-0005-0000-0000-0000F6000000}"/>
    <cellStyle name="Insatisfaisant 7" xfId="227" xr:uid="{00000000-0005-0000-0000-0000F7000000}"/>
    <cellStyle name="Insatisfaisant 8" xfId="338" xr:uid="{00000000-0005-0000-0000-0000F8000000}"/>
    <cellStyle name="Lien hypertexte 10" xfId="339" xr:uid="{00000000-0005-0000-0000-0000F9000000}"/>
    <cellStyle name="Lien hypertexte 11" xfId="340" xr:uid="{00000000-0005-0000-0000-0000FA000000}"/>
    <cellStyle name="Lien hypertexte 12" xfId="341" xr:uid="{00000000-0005-0000-0000-0000FB000000}"/>
    <cellStyle name="Lien hypertexte 13" xfId="342" xr:uid="{00000000-0005-0000-0000-0000FC000000}"/>
    <cellStyle name="Lien hypertexte 2" xfId="42" xr:uid="{00000000-0005-0000-0000-0000FD000000}"/>
    <cellStyle name="Lien hypertexte 2 2" xfId="343" xr:uid="{00000000-0005-0000-0000-0000FE000000}"/>
    <cellStyle name="Lien hypertexte 2 3" xfId="344" xr:uid="{00000000-0005-0000-0000-0000FF000000}"/>
    <cellStyle name="Lien hypertexte 2_Prestat Num" xfId="345" xr:uid="{00000000-0005-0000-0000-000000010000}"/>
    <cellStyle name="Lien hypertexte 3" xfId="346" xr:uid="{00000000-0005-0000-0000-000001010000}"/>
    <cellStyle name="Lien hypertexte 4" xfId="347" xr:uid="{00000000-0005-0000-0000-000002010000}"/>
    <cellStyle name="Lien hypertexte 5" xfId="348" xr:uid="{00000000-0005-0000-0000-000003010000}"/>
    <cellStyle name="Lien hypertexte 6" xfId="349" xr:uid="{00000000-0005-0000-0000-000004010000}"/>
    <cellStyle name="Lien hypertexte 7" xfId="350" xr:uid="{00000000-0005-0000-0000-000005010000}"/>
    <cellStyle name="Lien hypertexte 8" xfId="351" xr:uid="{00000000-0005-0000-0000-000006010000}"/>
    <cellStyle name="Lien hypertexte 9" xfId="352" xr:uid="{00000000-0005-0000-0000-000007010000}"/>
    <cellStyle name="Neutre" xfId="31" builtinId="28" customBuiltin="1"/>
    <cellStyle name="Neutre 2" xfId="228" xr:uid="{00000000-0005-0000-0000-000009010000}"/>
    <cellStyle name="Neutre 3" xfId="229" xr:uid="{00000000-0005-0000-0000-00000A010000}"/>
    <cellStyle name="Neutre 4" xfId="230" xr:uid="{00000000-0005-0000-0000-00000B010000}"/>
    <cellStyle name="Neutre 5" xfId="231" xr:uid="{00000000-0005-0000-0000-00000C010000}"/>
    <cellStyle name="Neutre 6" xfId="232" xr:uid="{00000000-0005-0000-0000-00000D010000}"/>
    <cellStyle name="Neutre 7" xfId="233" xr:uid="{00000000-0005-0000-0000-00000E010000}"/>
    <cellStyle name="Neutre 8" xfId="353" xr:uid="{00000000-0005-0000-0000-00000F010000}"/>
    <cellStyle name="Normal" xfId="0" builtinId="0"/>
    <cellStyle name="Normal 10" xfId="354" xr:uid="{00000000-0005-0000-0000-000011010000}"/>
    <cellStyle name="Normal 10 2" xfId="355" xr:uid="{00000000-0005-0000-0000-000012010000}"/>
    <cellStyle name="Normal 10 3" xfId="356" xr:uid="{00000000-0005-0000-0000-000013010000}"/>
    <cellStyle name="Normal 11" xfId="357" xr:uid="{00000000-0005-0000-0000-000014010000}"/>
    <cellStyle name="Normal 11 2" xfId="358" xr:uid="{00000000-0005-0000-0000-000015010000}"/>
    <cellStyle name="Normal 12" xfId="359" xr:uid="{00000000-0005-0000-0000-000016010000}"/>
    <cellStyle name="Normal 12 2" xfId="360" xr:uid="{00000000-0005-0000-0000-000017010000}"/>
    <cellStyle name="Normal 13" xfId="361" xr:uid="{00000000-0005-0000-0000-000018010000}"/>
    <cellStyle name="Normal 13 2" xfId="362" xr:uid="{00000000-0005-0000-0000-000019010000}"/>
    <cellStyle name="Normal 13 2 2" xfId="363" xr:uid="{00000000-0005-0000-0000-00001A010000}"/>
    <cellStyle name="Normal 13 3" xfId="364" xr:uid="{00000000-0005-0000-0000-00001B010000}"/>
    <cellStyle name="Normal 13 3 2" xfId="365" xr:uid="{00000000-0005-0000-0000-00001C010000}"/>
    <cellStyle name="Normal 13 3 2 2" xfId="366" xr:uid="{00000000-0005-0000-0000-00001D010000}"/>
    <cellStyle name="Normal 13 3 3" xfId="367" xr:uid="{00000000-0005-0000-0000-00001E010000}"/>
    <cellStyle name="Normal 13 3 3 2" xfId="368" xr:uid="{00000000-0005-0000-0000-00001F010000}"/>
    <cellStyle name="Normal 13 3 3 2 2" xfId="369" xr:uid="{00000000-0005-0000-0000-000020010000}"/>
    <cellStyle name="Normal 13 3 3 3" xfId="370" xr:uid="{00000000-0005-0000-0000-000021010000}"/>
    <cellStyle name="Normal 13 3 3 3 2" xfId="371" xr:uid="{00000000-0005-0000-0000-000022010000}"/>
    <cellStyle name="Normal 13 3 3 3 2 2" xfId="372" xr:uid="{00000000-0005-0000-0000-000023010000}"/>
    <cellStyle name="Normal 13 3 3 3 3" xfId="373" xr:uid="{00000000-0005-0000-0000-000024010000}"/>
    <cellStyle name="Normal 13 3 3 4" xfId="374" xr:uid="{00000000-0005-0000-0000-000025010000}"/>
    <cellStyle name="Normal 13 3 4" xfId="375" xr:uid="{00000000-0005-0000-0000-000026010000}"/>
    <cellStyle name="Normal 13 4" xfId="376" xr:uid="{00000000-0005-0000-0000-000027010000}"/>
    <cellStyle name="Normal 14" xfId="377" xr:uid="{00000000-0005-0000-0000-000028010000}"/>
    <cellStyle name="Normal 14 2" xfId="378" xr:uid="{00000000-0005-0000-0000-000029010000}"/>
    <cellStyle name="Normal 14 2 2" xfId="379" xr:uid="{00000000-0005-0000-0000-00002A010000}"/>
    <cellStyle name="Normal 14 3" xfId="380" xr:uid="{00000000-0005-0000-0000-00002B010000}"/>
    <cellStyle name="Normal 14 3 2" xfId="381" xr:uid="{00000000-0005-0000-0000-00002C010000}"/>
    <cellStyle name="Normal 14 3 2 2" xfId="382" xr:uid="{00000000-0005-0000-0000-00002D010000}"/>
    <cellStyle name="Normal 14 3 3" xfId="383" xr:uid="{00000000-0005-0000-0000-00002E010000}"/>
    <cellStyle name="Normal 14 4" xfId="384" xr:uid="{00000000-0005-0000-0000-00002F010000}"/>
    <cellStyle name="Normal 15" xfId="385" xr:uid="{00000000-0005-0000-0000-000030010000}"/>
    <cellStyle name="Normal 15 2" xfId="386" xr:uid="{00000000-0005-0000-0000-000031010000}"/>
    <cellStyle name="Normal 16" xfId="387" xr:uid="{00000000-0005-0000-0000-000032010000}"/>
    <cellStyle name="Normal 16 2" xfId="388" xr:uid="{00000000-0005-0000-0000-000033010000}"/>
    <cellStyle name="Normal 16 2 2" xfId="389" xr:uid="{00000000-0005-0000-0000-000034010000}"/>
    <cellStyle name="Normal 16 3" xfId="390" xr:uid="{00000000-0005-0000-0000-000035010000}"/>
    <cellStyle name="Normal 17" xfId="391" xr:uid="{00000000-0005-0000-0000-000036010000}"/>
    <cellStyle name="Normal 17 2" xfId="392" xr:uid="{00000000-0005-0000-0000-000037010000}"/>
    <cellStyle name="Normal 17 2 2" xfId="393" xr:uid="{00000000-0005-0000-0000-000038010000}"/>
    <cellStyle name="Normal 18" xfId="394" xr:uid="{00000000-0005-0000-0000-000039010000}"/>
    <cellStyle name="Normal 18 2" xfId="395" xr:uid="{00000000-0005-0000-0000-00003A010000}"/>
    <cellStyle name="Normal 19" xfId="396" xr:uid="{00000000-0005-0000-0000-00003B010000}"/>
    <cellStyle name="Normal 2" xfId="43" xr:uid="{00000000-0005-0000-0000-00003C010000}"/>
    <cellStyle name="Normal 2 2" xfId="397" xr:uid="{00000000-0005-0000-0000-00003D010000}"/>
    <cellStyle name="Normal 2 2 2" xfId="398" xr:uid="{00000000-0005-0000-0000-00003E010000}"/>
    <cellStyle name="Normal 2 3" xfId="399" xr:uid="{00000000-0005-0000-0000-00003F010000}"/>
    <cellStyle name="Normal 20" xfId="301" xr:uid="{00000000-0005-0000-0000-000040010000}"/>
    <cellStyle name="Normal 3" xfId="234" xr:uid="{00000000-0005-0000-0000-000041010000}"/>
    <cellStyle name="Normal 3 2" xfId="401" xr:uid="{00000000-0005-0000-0000-000042010000}"/>
    <cellStyle name="Normal 3 2 2" xfId="402" xr:uid="{00000000-0005-0000-0000-000043010000}"/>
    <cellStyle name="Normal 3 2 2 2" xfId="403" xr:uid="{00000000-0005-0000-0000-000044010000}"/>
    <cellStyle name="Normal 3 2 3" xfId="404" xr:uid="{00000000-0005-0000-0000-000045010000}"/>
    <cellStyle name="Normal 3 3" xfId="405" xr:uid="{00000000-0005-0000-0000-000046010000}"/>
    <cellStyle name="Normal 3 3 2" xfId="406" xr:uid="{00000000-0005-0000-0000-000047010000}"/>
    <cellStyle name="Normal 3 3 2 2" xfId="407" xr:uid="{00000000-0005-0000-0000-000048010000}"/>
    <cellStyle name="Normal 3 3 3" xfId="408" xr:uid="{00000000-0005-0000-0000-000049010000}"/>
    <cellStyle name="Normal 3 4" xfId="409" xr:uid="{00000000-0005-0000-0000-00004A010000}"/>
    <cellStyle name="Normal 3 4 2" xfId="410" xr:uid="{00000000-0005-0000-0000-00004B010000}"/>
    <cellStyle name="Normal 3 5" xfId="411" xr:uid="{00000000-0005-0000-0000-00004C010000}"/>
    <cellStyle name="Normal 3 6" xfId="412" xr:uid="{00000000-0005-0000-0000-00004D010000}"/>
    <cellStyle name="Normal 3 7" xfId="400" xr:uid="{00000000-0005-0000-0000-00004E010000}"/>
    <cellStyle name="Normal 3_Prestat Num" xfId="413" xr:uid="{00000000-0005-0000-0000-00004F010000}"/>
    <cellStyle name="Normal 4" xfId="235" xr:uid="{00000000-0005-0000-0000-000050010000}"/>
    <cellStyle name="Normal 4 2" xfId="236" xr:uid="{00000000-0005-0000-0000-000051010000}"/>
    <cellStyle name="Normal 4 2 2" xfId="414" xr:uid="{00000000-0005-0000-0000-000052010000}"/>
    <cellStyle name="Normal 4 3" xfId="415" xr:uid="{00000000-0005-0000-0000-000053010000}"/>
    <cellStyle name="Normal 4 3 2" xfId="416" xr:uid="{00000000-0005-0000-0000-000054010000}"/>
    <cellStyle name="Normal 4 3 2 2" xfId="417" xr:uid="{00000000-0005-0000-0000-000055010000}"/>
    <cellStyle name="Normal 4 3 3" xfId="418" xr:uid="{00000000-0005-0000-0000-000056010000}"/>
    <cellStyle name="Normal 4 3 3 2" xfId="419" xr:uid="{00000000-0005-0000-0000-000057010000}"/>
    <cellStyle name="Normal 4 3 4" xfId="420" xr:uid="{00000000-0005-0000-0000-000058010000}"/>
    <cellStyle name="Normal 4 3 4 2" xfId="421" xr:uid="{00000000-0005-0000-0000-000059010000}"/>
    <cellStyle name="Normal 4 3 4 2 2" xfId="422" xr:uid="{00000000-0005-0000-0000-00005A010000}"/>
    <cellStyle name="Normal 4 3 4 3" xfId="423" xr:uid="{00000000-0005-0000-0000-00005B010000}"/>
    <cellStyle name="Normal 4 3 5" xfId="424" xr:uid="{00000000-0005-0000-0000-00005C010000}"/>
    <cellStyle name="Normal 4 3_Prestat Num" xfId="425" xr:uid="{00000000-0005-0000-0000-00005D010000}"/>
    <cellStyle name="Normal 4 4" xfId="426" xr:uid="{00000000-0005-0000-0000-00005E010000}"/>
    <cellStyle name="Normal 4 4 2" xfId="427" xr:uid="{00000000-0005-0000-0000-00005F010000}"/>
    <cellStyle name="Normal 4 4 2 2" xfId="428" xr:uid="{00000000-0005-0000-0000-000060010000}"/>
    <cellStyle name="Normal 4 4 3" xfId="429" xr:uid="{00000000-0005-0000-0000-000061010000}"/>
    <cellStyle name="Normal 4 5" xfId="430" xr:uid="{00000000-0005-0000-0000-000062010000}"/>
    <cellStyle name="Normal 4_Prestat Num" xfId="431" xr:uid="{00000000-0005-0000-0000-000063010000}"/>
    <cellStyle name="Normal 5" xfId="237" xr:uid="{00000000-0005-0000-0000-000064010000}"/>
    <cellStyle name="Normal 5 2" xfId="238" xr:uid="{00000000-0005-0000-0000-000065010000}"/>
    <cellStyle name="Normal 5 3" xfId="432" xr:uid="{00000000-0005-0000-0000-000066010000}"/>
    <cellStyle name="Normal 6" xfId="44" xr:uid="{00000000-0005-0000-0000-000067010000}"/>
    <cellStyle name="Normal 6 2" xfId="433" xr:uid="{00000000-0005-0000-0000-000068010000}"/>
    <cellStyle name="Normal 6 2 2" xfId="434" xr:uid="{00000000-0005-0000-0000-000069010000}"/>
    <cellStyle name="Normal 6 3" xfId="435" xr:uid="{00000000-0005-0000-0000-00006A010000}"/>
    <cellStyle name="Normal 6 3 2" xfId="436" xr:uid="{00000000-0005-0000-0000-00006B010000}"/>
    <cellStyle name="Normal 6 3 2 2" xfId="437" xr:uid="{00000000-0005-0000-0000-00006C010000}"/>
    <cellStyle name="Normal 6 3 3" xfId="438" xr:uid="{00000000-0005-0000-0000-00006D010000}"/>
    <cellStyle name="Normal 6 4" xfId="439" xr:uid="{00000000-0005-0000-0000-00006E010000}"/>
    <cellStyle name="Normal 6_Prestat Num" xfId="440" xr:uid="{00000000-0005-0000-0000-00006F010000}"/>
    <cellStyle name="Normal 7" xfId="239" xr:uid="{00000000-0005-0000-0000-000070010000}"/>
    <cellStyle name="Normal 7 2" xfId="441" xr:uid="{00000000-0005-0000-0000-000071010000}"/>
    <cellStyle name="Normal 7 2 2" xfId="442" xr:uid="{00000000-0005-0000-0000-000072010000}"/>
    <cellStyle name="Normal 7 3" xfId="443" xr:uid="{00000000-0005-0000-0000-000073010000}"/>
    <cellStyle name="Normal 8" xfId="240" xr:uid="{00000000-0005-0000-0000-000074010000}"/>
    <cellStyle name="Normal 8 2" xfId="444" xr:uid="{00000000-0005-0000-0000-000075010000}"/>
    <cellStyle name="Normal 8 2 2" xfId="445" xr:uid="{00000000-0005-0000-0000-000076010000}"/>
    <cellStyle name="Normal 8 3" xfId="446" xr:uid="{00000000-0005-0000-0000-000077010000}"/>
    <cellStyle name="Normal 8 3 2" xfId="447" xr:uid="{00000000-0005-0000-0000-000078010000}"/>
    <cellStyle name="Normal 8 4" xfId="448" xr:uid="{00000000-0005-0000-0000-000079010000}"/>
    <cellStyle name="Normal 8 4 2" xfId="449" xr:uid="{00000000-0005-0000-0000-00007A010000}"/>
    <cellStyle name="Normal 8 4 2 2" xfId="450" xr:uid="{00000000-0005-0000-0000-00007B010000}"/>
    <cellStyle name="Normal 8 4 3" xfId="451" xr:uid="{00000000-0005-0000-0000-00007C010000}"/>
    <cellStyle name="Normal 8 5" xfId="452" xr:uid="{00000000-0005-0000-0000-00007D010000}"/>
    <cellStyle name="Normal 8_Prestat Num" xfId="453" xr:uid="{00000000-0005-0000-0000-00007E010000}"/>
    <cellStyle name="Normal 9" xfId="454" xr:uid="{00000000-0005-0000-0000-00007F010000}"/>
    <cellStyle name="Normal 9 2" xfId="455" xr:uid="{00000000-0005-0000-0000-000080010000}"/>
    <cellStyle name="Note" xfId="28" builtinId="10" customBuiltin="1"/>
    <cellStyle name="Satisfaisant" xfId="32" builtinId="26" customBuiltin="1"/>
    <cellStyle name="Satisfaisant 2" xfId="241" xr:uid="{00000000-0005-0000-0000-000083010000}"/>
    <cellStyle name="Satisfaisant 3" xfId="242" xr:uid="{00000000-0005-0000-0000-000084010000}"/>
    <cellStyle name="Satisfaisant 4" xfId="243" xr:uid="{00000000-0005-0000-0000-000085010000}"/>
    <cellStyle name="Satisfaisant 5" xfId="244" xr:uid="{00000000-0005-0000-0000-000086010000}"/>
    <cellStyle name="Satisfaisant 6" xfId="245" xr:uid="{00000000-0005-0000-0000-000087010000}"/>
    <cellStyle name="Satisfaisant 7" xfId="246" xr:uid="{00000000-0005-0000-0000-000088010000}"/>
    <cellStyle name="Satisfaisant 8" xfId="456" xr:uid="{00000000-0005-0000-0000-000089010000}"/>
    <cellStyle name="Sortie" xfId="33" builtinId="21" customBuiltin="1"/>
    <cellStyle name="Sortie 2" xfId="247" xr:uid="{00000000-0005-0000-0000-00008B010000}"/>
    <cellStyle name="Sortie 3" xfId="248" xr:uid="{00000000-0005-0000-0000-00008C010000}"/>
    <cellStyle name="Sortie 4" xfId="249" xr:uid="{00000000-0005-0000-0000-00008D010000}"/>
    <cellStyle name="Sortie 5" xfId="250" xr:uid="{00000000-0005-0000-0000-00008E010000}"/>
    <cellStyle name="Sortie 6" xfId="251" xr:uid="{00000000-0005-0000-0000-00008F010000}"/>
    <cellStyle name="Sortie 7" xfId="252" xr:uid="{00000000-0005-0000-0000-000090010000}"/>
    <cellStyle name="Sortie 8" xfId="457" xr:uid="{00000000-0005-0000-0000-000091010000}"/>
    <cellStyle name="Texte explicatif" xfId="34" builtinId="53" customBuiltin="1"/>
    <cellStyle name="Texte explicatif 2" xfId="253" xr:uid="{00000000-0005-0000-0000-000093010000}"/>
    <cellStyle name="Texte explicatif 3" xfId="254" xr:uid="{00000000-0005-0000-0000-000094010000}"/>
    <cellStyle name="Texte explicatif 4" xfId="255" xr:uid="{00000000-0005-0000-0000-000095010000}"/>
    <cellStyle name="Texte explicatif 5" xfId="256" xr:uid="{00000000-0005-0000-0000-000096010000}"/>
    <cellStyle name="Texte explicatif 6" xfId="257" xr:uid="{00000000-0005-0000-0000-000097010000}"/>
    <cellStyle name="Texte explicatif 7" xfId="258" xr:uid="{00000000-0005-0000-0000-000098010000}"/>
    <cellStyle name="Texte explicatif 8" xfId="458" xr:uid="{00000000-0005-0000-0000-000099010000}"/>
    <cellStyle name="Titre" xfId="35" builtinId="15" customBuiltin="1"/>
    <cellStyle name="Titre 2" xfId="259" xr:uid="{00000000-0005-0000-0000-00009B010000}"/>
    <cellStyle name="Titre 3" xfId="260" xr:uid="{00000000-0005-0000-0000-00009C010000}"/>
    <cellStyle name="Titre 4" xfId="261" xr:uid="{00000000-0005-0000-0000-00009D010000}"/>
    <cellStyle name="Titre 5" xfId="262" xr:uid="{00000000-0005-0000-0000-00009E010000}"/>
    <cellStyle name="Titre 6" xfId="263" xr:uid="{00000000-0005-0000-0000-00009F010000}"/>
    <cellStyle name="Titre 7" xfId="264" xr:uid="{00000000-0005-0000-0000-0000A0010000}"/>
    <cellStyle name="Titre 8" xfId="459" xr:uid="{00000000-0005-0000-0000-0000A1010000}"/>
    <cellStyle name="Titre 1" xfId="36" builtinId="16" customBuiltin="1"/>
    <cellStyle name="Titre 1 2" xfId="265" xr:uid="{00000000-0005-0000-0000-0000A3010000}"/>
    <cellStyle name="Titre 1 3" xfId="266" xr:uid="{00000000-0005-0000-0000-0000A4010000}"/>
    <cellStyle name="Titre 1 4" xfId="267" xr:uid="{00000000-0005-0000-0000-0000A5010000}"/>
    <cellStyle name="Titre 1 5" xfId="268" xr:uid="{00000000-0005-0000-0000-0000A6010000}"/>
    <cellStyle name="Titre 1 6" xfId="269" xr:uid="{00000000-0005-0000-0000-0000A7010000}"/>
    <cellStyle name="Titre 1 7" xfId="270" xr:uid="{00000000-0005-0000-0000-0000A8010000}"/>
    <cellStyle name="Titre 1 8" xfId="460" xr:uid="{00000000-0005-0000-0000-0000A9010000}"/>
    <cellStyle name="Titre 2" xfId="37" builtinId="17" customBuiltin="1"/>
    <cellStyle name="Titre 2 2" xfId="271" xr:uid="{00000000-0005-0000-0000-0000AB010000}"/>
    <cellStyle name="Titre 2 3" xfId="272" xr:uid="{00000000-0005-0000-0000-0000AC010000}"/>
    <cellStyle name="Titre 2 4" xfId="273" xr:uid="{00000000-0005-0000-0000-0000AD010000}"/>
    <cellStyle name="Titre 2 5" xfId="274" xr:uid="{00000000-0005-0000-0000-0000AE010000}"/>
    <cellStyle name="Titre 2 6" xfId="275" xr:uid="{00000000-0005-0000-0000-0000AF010000}"/>
    <cellStyle name="Titre 2 7" xfId="276" xr:uid="{00000000-0005-0000-0000-0000B0010000}"/>
    <cellStyle name="Titre 2 8" xfId="461" xr:uid="{00000000-0005-0000-0000-0000B1010000}"/>
    <cellStyle name="Titre 3" xfId="38" builtinId="18" customBuiltin="1"/>
    <cellStyle name="Titre 3 2" xfId="277" xr:uid="{00000000-0005-0000-0000-0000B3010000}"/>
    <cellStyle name="Titre 3 3" xfId="278" xr:uid="{00000000-0005-0000-0000-0000B4010000}"/>
    <cellStyle name="Titre 3 4" xfId="279" xr:uid="{00000000-0005-0000-0000-0000B5010000}"/>
    <cellStyle name="Titre 3 5" xfId="280" xr:uid="{00000000-0005-0000-0000-0000B6010000}"/>
    <cellStyle name="Titre 3 6" xfId="281" xr:uid="{00000000-0005-0000-0000-0000B7010000}"/>
    <cellStyle name="Titre 3 7" xfId="282" xr:uid="{00000000-0005-0000-0000-0000B8010000}"/>
    <cellStyle name="Titre 3 8" xfId="462" xr:uid="{00000000-0005-0000-0000-0000B9010000}"/>
    <cellStyle name="Titre 4" xfId="39" builtinId="19" customBuiltin="1"/>
    <cellStyle name="Titre 4 2" xfId="283" xr:uid="{00000000-0005-0000-0000-0000BB010000}"/>
    <cellStyle name="Titre 4 3" xfId="284" xr:uid="{00000000-0005-0000-0000-0000BC010000}"/>
    <cellStyle name="Titre 4 4" xfId="285" xr:uid="{00000000-0005-0000-0000-0000BD010000}"/>
    <cellStyle name="Titre 4 5" xfId="286" xr:uid="{00000000-0005-0000-0000-0000BE010000}"/>
    <cellStyle name="Titre 4 6" xfId="287" xr:uid="{00000000-0005-0000-0000-0000BF010000}"/>
    <cellStyle name="Titre 4 7" xfId="288" xr:uid="{00000000-0005-0000-0000-0000C0010000}"/>
    <cellStyle name="Titre 4 8" xfId="463" xr:uid="{00000000-0005-0000-0000-0000C1010000}"/>
    <cellStyle name="Total" xfId="40" builtinId="25" customBuiltin="1"/>
    <cellStyle name="Total 2" xfId="289" xr:uid="{00000000-0005-0000-0000-0000C3010000}"/>
    <cellStyle name="Total 3" xfId="290" xr:uid="{00000000-0005-0000-0000-0000C4010000}"/>
    <cellStyle name="Total 4" xfId="291" xr:uid="{00000000-0005-0000-0000-0000C5010000}"/>
    <cellStyle name="Total 5" xfId="292" xr:uid="{00000000-0005-0000-0000-0000C6010000}"/>
    <cellStyle name="Total 6" xfId="293" xr:uid="{00000000-0005-0000-0000-0000C7010000}"/>
    <cellStyle name="Total 7" xfId="294" xr:uid="{00000000-0005-0000-0000-0000C8010000}"/>
    <cellStyle name="Total 8" xfId="464" xr:uid="{00000000-0005-0000-0000-0000C9010000}"/>
    <cellStyle name="Vérification" xfId="41" builtinId="23" customBuiltin="1"/>
    <cellStyle name="Vérification 2" xfId="295" xr:uid="{00000000-0005-0000-0000-0000CB010000}"/>
    <cellStyle name="Vérification 3" xfId="296" xr:uid="{00000000-0005-0000-0000-0000CC010000}"/>
    <cellStyle name="Vérification 4" xfId="297" xr:uid="{00000000-0005-0000-0000-0000CD010000}"/>
    <cellStyle name="Vérification 5" xfId="298" xr:uid="{00000000-0005-0000-0000-0000CE010000}"/>
    <cellStyle name="Vérification 6" xfId="299" xr:uid="{00000000-0005-0000-0000-0000CF010000}"/>
    <cellStyle name="Vérification 7" xfId="300" xr:uid="{00000000-0005-0000-0000-0000D0010000}"/>
    <cellStyle name="Vérification 8" xfId="465" xr:uid="{00000000-0005-0000-0000-0000D1010000}"/>
  </cellStyles>
  <dxfs count="20"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6"/>
        </top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6"/>
        </top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99"/>
      <color rgb="FFCCFFCC"/>
      <color rgb="FFE7FD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142875</xdr:rowOff>
        </xdr:from>
        <xdr:to>
          <xdr:col>9</xdr:col>
          <xdr:colOff>942975</xdr:colOff>
          <xdr:row>3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flux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9:E22" totalsRowShown="0" headerRowDxfId="19">
  <autoFilter ref="A19:E22" xr:uid="{00000000-0009-0000-0100-000001000000}"/>
  <tableColumns count="5">
    <tableColumn id="1" xr3:uid="{00000000-0010-0000-0000-000001000000}" name="Environnements" dataDxfId="18"/>
    <tableColumn id="2" xr3:uid="{00000000-0010-0000-0000-000002000000}" name="Chemins de depots de flux (zips)" dataDxfId="17"/>
    <tableColumn id="3" xr3:uid="{00000000-0010-0000-0000-000003000000}" name="Fichiers de log_fonctionnels" dataDxfId="16"/>
    <tableColumn id="4" xr3:uid="{00000000-0010-0000-0000-000004000000}" name="Fichiers de log" dataDxfId="15"/>
    <tableColumn id="5" xr3:uid="{00000000-0010-0000-0000-000005000000}" name="Dossiers de log d'erreurs" dataDxfId="1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14:E15" totalsRowShown="0" headerRowDxfId="13" dataDxfId="12" tableBorderDxfId="11">
  <tableColumns count="5">
    <tableColumn id="1" xr3:uid="{00000000-0010-0000-0100-000001000000}" name="Environnements" dataDxfId="10">
      <calculatedColumnFormula>Lots!C2</calculatedColumnFormula>
    </tableColumn>
    <tableColumn id="2" xr3:uid="{00000000-0010-0000-0100-000002000000}" name="Chemins de depots de flux (zips)" dataDxfId="9">
      <calculatedColumnFormula>VLOOKUP(Lots!C2,Config!A20:E28,2,FALSE)</calculatedColumnFormula>
    </tableColumn>
    <tableColumn id="3" xr3:uid="{00000000-0010-0000-0100-000003000000}" name="Fichiers de log_fonctionnels" dataDxfId="8">
      <calculatedColumnFormula>VLOOKUP(Lots!C2,Config!A20:E28,3,FALSE)</calculatedColumnFormula>
    </tableColumn>
    <tableColumn id="4" xr3:uid="{00000000-0010-0000-0100-000004000000}" name="Fichiers de log" dataDxfId="7">
      <calculatedColumnFormula>VLOOKUP(Lots!C2,Config!A20:E28,4,FALSE)</calculatedColumnFormula>
    </tableColumn>
    <tableColumn id="5" xr3:uid="{00000000-0010-0000-0100-000005000000}" name="Dossiers de log d'erreurs" dataDxfId="6">
      <calculatedColumnFormula>VLOOKUP(Lots!C2,Config!A20:E28,5,FALSE)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au33" displayName="Tableau33" ref="A7:C11" totalsRowShown="0" headerRowDxfId="5" dataDxfId="4" tableBorderDxfId="3">
  <autoFilter ref="A7:C11" xr:uid="{00000000-0009-0000-0100-000002000000}"/>
  <tableColumns count="3">
    <tableColumn id="1" xr3:uid="{00000000-0010-0000-0200-000001000000}" name="Description" dataDxfId="2"/>
    <tableColumn id="2" xr3:uid="{00000000-0010-0000-0200-000002000000}" name="Valeur" dataDxfId="1"/>
    <tableColumn id="3" xr3:uid="{00000000-0010-0000-0200-000003000000}" name="Valeur 2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7030A0"/>
  </sheetPr>
  <dimension ref="B1:CJ20"/>
  <sheetViews>
    <sheetView showGridLines="0" tabSelected="1" topLeftCell="D2" zoomScaleNormal="100" workbookViewId="0">
      <selection activeCell="Y7" sqref="Y7"/>
    </sheetView>
  </sheetViews>
  <sheetFormatPr baseColWidth="10" defaultColWidth="7.85546875" defaultRowHeight="15" customHeight="1" x14ac:dyDescent="0.2"/>
  <cols>
    <col min="1" max="1" width="3.5703125" customWidth="1"/>
    <col min="2" max="2" width="24.85546875" customWidth="1"/>
    <col min="3" max="3" width="31.5703125" customWidth="1"/>
    <col min="4" max="5" width="13.42578125" customWidth="1"/>
    <col min="6" max="6" width="11.5703125" customWidth="1"/>
    <col min="7" max="7" width="5.5703125" customWidth="1"/>
    <col min="8" max="8" width="1.42578125" customWidth="1"/>
    <col min="9" max="9" width="16.85546875" customWidth="1"/>
    <col min="10" max="10" width="18.140625" bestFit="1" customWidth="1"/>
    <col min="11" max="11" width="5.140625" customWidth="1"/>
    <col min="12" max="12" width="5.42578125" customWidth="1"/>
    <col min="13" max="13" width="3.5703125" bestFit="1" customWidth="1"/>
    <col min="14" max="14" width="16.140625" bestFit="1" customWidth="1"/>
    <col min="15" max="15" width="14.140625" customWidth="1"/>
    <col min="16" max="16" width="10.85546875" bestFit="1" customWidth="1"/>
    <col min="17" max="17" width="11.42578125" customWidth="1"/>
    <col min="18" max="18" width="15.85546875" bestFit="1" customWidth="1"/>
    <col min="19" max="21" width="9.42578125" customWidth="1"/>
    <col min="22" max="24" width="11" customWidth="1"/>
    <col min="25" max="59" width="11.5703125" customWidth="1"/>
    <col min="60" max="60" width="18" bestFit="1" customWidth="1"/>
    <col min="61" max="63" width="18" customWidth="1"/>
    <col min="64" max="64" width="29.85546875" customWidth="1"/>
    <col min="65" max="65" width="3.5703125" bestFit="1" customWidth="1"/>
    <col min="66" max="66" width="114.140625" bestFit="1" customWidth="1"/>
    <col min="67" max="67" width="3.140625" customWidth="1"/>
  </cols>
  <sheetData>
    <row r="1" spans="2:88" ht="15" customHeight="1" thickBot="1" x14ac:dyDescent="0.25"/>
    <row r="2" spans="2:88" ht="16.5" thickBot="1" x14ac:dyDescent="0.3">
      <c r="B2" s="10" t="s">
        <v>28</v>
      </c>
      <c r="C2" s="138" t="s">
        <v>27</v>
      </c>
      <c r="D2" s="139"/>
      <c r="E2" s="139"/>
      <c r="F2" s="140"/>
      <c r="K2" s="6"/>
      <c r="L2" s="6"/>
    </row>
    <row r="4" spans="2:88" ht="15" customHeight="1" thickBot="1" x14ac:dyDescent="0.3">
      <c r="K4" s="136" t="s">
        <v>37</v>
      </c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</row>
    <row r="5" spans="2:88" ht="15" customHeight="1" thickBot="1" x14ac:dyDescent="0.3">
      <c r="B5" s="141" t="s">
        <v>36</v>
      </c>
      <c r="C5" s="142"/>
      <c r="D5" s="141" t="s">
        <v>66</v>
      </c>
      <c r="E5" s="141"/>
      <c r="F5" s="141"/>
      <c r="G5" s="142"/>
      <c r="I5" s="141" t="s">
        <v>33</v>
      </c>
      <c r="J5" s="142"/>
      <c r="K5" s="48" t="s">
        <v>0</v>
      </c>
      <c r="L5" s="45"/>
      <c r="M5" s="2"/>
      <c r="N5" s="46" t="s">
        <v>8</v>
      </c>
      <c r="O5" s="3"/>
      <c r="P5" s="47" t="s">
        <v>9</v>
      </c>
      <c r="Q5" s="8"/>
      <c r="R5" s="8"/>
      <c r="S5" s="8"/>
      <c r="T5" s="8"/>
      <c r="U5" s="8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8"/>
      <c r="BJ5" s="8"/>
      <c r="BK5" s="8"/>
      <c r="BL5" s="30" t="s">
        <v>12</v>
      </c>
      <c r="BM5" s="31"/>
      <c r="BN5" s="32"/>
      <c r="BP5" s="136" t="s">
        <v>67</v>
      </c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2:88" ht="103.5" customHeight="1" thickBot="1" x14ac:dyDescent="0.25">
      <c r="B6" s="52" t="s">
        <v>35</v>
      </c>
      <c r="C6" s="53" t="s">
        <v>35</v>
      </c>
      <c r="D6" s="4" t="s">
        <v>42</v>
      </c>
      <c r="E6" s="5" t="s">
        <v>43</v>
      </c>
      <c r="F6" s="5" t="s">
        <v>51</v>
      </c>
      <c r="G6" s="7"/>
      <c r="I6" s="68" t="s">
        <v>34</v>
      </c>
      <c r="J6" s="69" t="s">
        <v>19</v>
      </c>
      <c r="K6" s="41" t="s">
        <v>1</v>
      </c>
      <c r="L6" s="42" t="s">
        <v>2</v>
      </c>
      <c r="M6" s="76" t="s">
        <v>3</v>
      </c>
      <c r="N6" s="43" t="s">
        <v>4</v>
      </c>
      <c r="O6" s="83" t="s">
        <v>5</v>
      </c>
      <c r="P6" s="44" t="s">
        <v>6</v>
      </c>
      <c r="Q6" s="5" t="s">
        <v>10</v>
      </c>
      <c r="R6" s="5" t="s">
        <v>11</v>
      </c>
      <c r="S6" s="5" t="s">
        <v>70</v>
      </c>
      <c r="T6" s="5" t="s">
        <v>71</v>
      </c>
      <c r="U6" s="5" t="s">
        <v>72</v>
      </c>
      <c r="V6" s="5" t="s">
        <v>68</v>
      </c>
      <c r="W6" s="5" t="s">
        <v>24</v>
      </c>
      <c r="X6" s="5" t="s">
        <v>69</v>
      </c>
      <c r="Y6" s="5" t="s">
        <v>22</v>
      </c>
      <c r="Z6" s="5" t="s">
        <v>20</v>
      </c>
      <c r="AA6" s="5" t="s">
        <v>21</v>
      </c>
      <c r="AB6" s="5" t="s">
        <v>538</v>
      </c>
      <c r="AC6" s="5" t="s">
        <v>539</v>
      </c>
      <c r="AD6" s="5" t="s">
        <v>540</v>
      </c>
      <c r="AE6" s="5" t="s">
        <v>541</v>
      </c>
      <c r="AF6" s="5" t="s">
        <v>542</v>
      </c>
      <c r="AG6" s="5" t="s">
        <v>543</v>
      </c>
      <c r="AH6" s="5" t="s">
        <v>544</v>
      </c>
      <c r="AI6" s="5" t="s">
        <v>545</v>
      </c>
      <c r="AJ6" s="5" t="s">
        <v>546</v>
      </c>
      <c r="AK6" s="5" t="s">
        <v>547</v>
      </c>
      <c r="AL6" s="5" t="s">
        <v>548</v>
      </c>
      <c r="AM6" s="5" t="s">
        <v>549</v>
      </c>
      <c r="AN6" s="5" t="s">
        <v>550</v>
      </c>
      <c r="AO6" s="5" t="s">
        <v>551</v>
      </c>
      <c r="AP6" s="5" t="s">
        <v>569</v>
      </c>
      <c r="AQ6" s="5" t="s">
        <v>552</v>
      </c>
      <c r="AR6" s="5" t="s">
        <v>553</v>
      </c>
      <c r="AS6" s="5" t="s">
        <v>554</v>
      </c>
      <c r="AT6" s="5" t="s">
        <v>555</v>
      </c>
      <c r="AU6" s="5" t="s">
        <v>556</v>
      </c>
      <c r="AV6" s="5" t="s">
        <v>557</v>
      </c>
      <c r="AW6" s="5" t="s">
        <v>558</v>
      </c>
      <c r="AX6" s="5" t="s">
        <v>559</v>
      </c>
      <c r="AY6" s="5" t="s">
        <v>560</v>
      </c>
      <c r="AZ6" s="5" t="s">
        <v>561</v>
      </c>
      <c r="BA6" s="5" t="s">
        <v>562</v>
      </c>
      <c r="BB6" s="5" t="s">
        <v>563</v>
      </c>
      <c r="BC6" s="5" t="s">
        <v>564</v>
      </c>
      <c r="BD6" s="5" t="s">
        <v>565</v>
      </c>
      <c r="BE6" s="5" t="s">
        <v>566</v>
      </c>
      <c r="BF6" s="5" t="s">
        <v>567</v>
      </c>
      <c r="BG6" s="5" t="s">
        <v>568</v>
      </c>
      <c r="BH6" s="5" t="s">
        <v>23</v>
      </c>
      <c r="BI6" s="5" t="s">
        <v>572</v>
      </c>
      <c r="BJ6" s="5" t="s">
        <v>534</v>
      </c>
      <c r="BK6" s="127" t="s">
        <v>482</v>
      </c>
      <c r="BL6" s="90" t="s">
        <v>14</v>
      </c>
      <c r="BM6" s="91" t="s">
        <v>15</v>
      </c>
      <c r="BN6" s="92" t="s">
        <v>13</v>
      </c>
      <c r="BP6" s="93" t="s">
        <v>39</v>
      </c>
      <c r="BQ6" s="14" t="s">
        <v>40</v>
      </c>
      <c r="BR6" s="14" t="s">
        <v>41</v>
      </c>
      <c r="BS6" s="14" t="s">
        <v>42</v>
      </c>
      <c r="BT6" s="14" t="s">
        <v>43</v>
      </c>
      <c r="BU6" s="14" t="s">
        <v>44</v>
      </c>
      <c r="BV6" s="14" t="s">
        <v>45</v>
      </c>
      <c r="BW6" s="14" t="s">
        <v>46</v>
      </c>
      <c r="BX6" s="14" t="s">
        <v>47</v>
      </c>
      <c r="BY6" s="14" t="s">
        <v>19</v>
      </c>
      <c r="BZ6" s="14" t="s">
        <v>48</v>
      </c>
      <c r="CA6" s="14" t="s">
        <v>49</v>
      </c>
      <c r="CB6" s="14" t="s">
        <v>50</v>
      </c>
      <c r="CC6" s="14" t="s">
        <v>51</v>
      </c>
      <c r="CD6" s="14" t="s">
        <v>52</v>
      </c>
      <c r="CE6" s="14" t="s">
        <v>53</v>
      </c>
      <c r="CF6" s="14" t="s">
        <v>54</v>
      </c>
      <c r="CG6" s="14" t="s">
        <v>55</v>
      </c>
      <c r="CH6" s="14" t="s">
        <v>56</v>
      </c>
      <c r="CI6" s="14" t="s">
        <v>57</v>
      </c>
      <c r="CJ6" s="94" t="s">
        <v>18</v>
      </c>
    </row>
    <row r="7" spans="2:88" s="1" customFormat="1" ht="15" customHeight="1" thickBot="1" x14ac:dyDescent="0.3">
      <c r="B7" s="54"/>
      <c r="C7" s="55"/>
      <c r="D7" s="60"/>
      <c r="E7" s="61"/>
      <c r="F7" s="61"/>
      <c r="G7" s="62"/>
      <c r="H7"/>
      <c r="I7" s="70"/>
      <c r="J7" s="71"/>
      <c r="K7" s="77" t="s">
        <v>116</v>
      </c>
      <c r="L7" s="78" t="s">
        <v>536</v>
      </c>
      <c r="M7" s="79" t="s">
        <v>7</v>
      </c>
      <c r="N7" s="118" t="s">
        <v>75</v>
      </c>
      <c r="O7" s="135" t="s">
        <v>537</v>
      </c>
      <c r="P7" s="85" t="s">
        <v>127</v>
      </c>
      <c r="Q7" s="86" t="s">
        <v>477</v>
      </c>
      <c r="R7" s="86" t="s">
        <v>483</v>
      </c>
      <c r="S7" s="87"/>
      <c r="T7" s="87"/>
      <c r="U7" s="87"/>
      <c r="V7" s="88"/>
      <c r="W7" s="89" t="s">
        <v>570</v>
      </c>
      <c r="X7" s="87"/>
      <c r="Y7" s="89" t="s">
        <v>571</v>
      </c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 t="s">
        <v>87</v>
      </c>
      <c r="BJ7" s="89"/>
      <c r="BK7" s="128"/>
      <c r="BL7" s="33" t="s">
        <v>76</v>
      </c>
      <c r="BM7" s="34" t="s">
        <v>16</v>
      </c>
      <c r="BN7" s="35" t="s">
        <v>491</v>
      </c>
      <c r="BP7" s="95"/>
      <c r="BQ7" s="96"/>
      <c r="BR7" s="96"/>
      <c r="BS7" s="96"/>
      <c r="BT7" s="96"/>
      <c r="BU7" s="96"/>
      <c r="BV7" s="96"/>
      <c r="BW7" s="96"/>
      <c r="BX7" s="96"/>
      <c r="BY7" s="96"/>
      <c r="BZ7" s="96"/>
      <c r="CA7" s="96"/>
      <c r="CB7" s="96"/>
      <c r="CC7" s="96"/>
      <c r="CD7" s="96"/>
      <c r="CE7" s="96"/>
      <c r="CF7" s="96"/>
      <c r="CG7" s="96"/>
      <c r="CH7" s="96"/>
      <c r="CI7" s="96"/>
      <c r="CJ7" s="97"/>
    </row>
    <row r="8" spans="2:88" s="1" customFormat="1" ht="15.75" thickBot="1" x14ac:dyDescent="0.3">
      <c r="B8" s="108"/>
      <c r="C8" s="109"/>
      <c r="D8" s="110"/>
      <c r="E8" s="111"/>
      <c r="F8" s="111"/>
      <c r="G8" s="112"/>
      <c r="H8"/>
      <c r="I8" s="113"/>
      <c r="J8" s="114"/>
      <c r="K8" s="77"/>
      <c r="L8" s="78"/>
      <c r="M8" s="79"/>
      <c r="N8" s="118"/>
      <c r="O8" s="119"/>
      <c r="P8" s="85"/>
      <c r="Q8" s="86"/>
      <c r="R8" s="134"/>
      <c r="S8" s="120"/>
      <c r="T8" s="120"/>
      <c r="U8" s="120"/>
      <c r="V8" s="121"/>
      <c r="W8" s="132"/>
      <c r="X8" s="132"/>
      <c r="Y8" s="122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9"/>
      <c r="BL8" s="33"/>
      <c r="BM8" s="34"/>
      <c r="BN8" s="35"/>
      <c r="BP8" s="124"/>
      <c r="BQ8" s="125"/>
      <c r="BR8" s="125"/>
      <c r="BS8" s="125"/>
      <c r="BT8" s="125"/>
      <c r="BU8" s="125"/>
      <c r="BV8" s="125"/>
      <c r="BW8" s="125"/>
      <c r="BX8" s="125"/>
      <c r="BY8" s="125"/>
      <c r="BZ8" s="125"/>
      <c r="CA8" s="125"/>
      <c r="CB8" s="125"/>
      <c r="CC8" s="125"/>
      <c r="CD8" s="125"/>
      <c r="CE8" s="125"/>
      <c r="CF8" s="125"/>
      <c r="CG8" s="125"/>
      <c r="CH8" s="125"/>
      <c r="CI8" s="125"/>
      <c r="CJ8" s="126"/>
    </row>
    <row r="9" spans="2:88" s="1" customFormat="1" ht="15.75" thickBot="1" x14ac:dyDescent="0.3">
      <c r="B9" s="108"/>
      <c r="C9" s="109"/>
      <c r="D9" s="110"/>
      <c r="E9" s="111"/>
      <c r="F9" s="111"/>
      <c r="G9" s="112"/>
      <c r="H9"/>
      <c r="I9" s="113"/>
      <c r="J9" s="114"/>
      <c r="K9" s="115"/>
      <c r="L9" s="116"/>
      <c r="M9" s="117"/>
      <c r="N9" s="118"/>
      <c r="O9" s="119"/>
      <c r="P9" s="85"/>
      <c r="Q9" s="86"/>
      <c r="R9" s="120"/>
      <c r="S9" s="120"/>
      <c r="T9" s="120"/>
      <c r="U9" s="120"/>
      <c r="V9" s="121"/>
      <c r="W9" s="132"/>
      <c r="X9" s="132"/>
      <c r="Y9" s="122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9"/>
      <c r="BL9" s="33"/>
      <c r="BM9" s="34"/>
      <c r="BN9" s="35"/>
      <c r="BP9" s="124"/>
      <c r="BQ9" s="125"/>
      <c r="BR9" s="125"/>
      <c r="BS9" s="125"/>
      <c r="BT9" s="125"/>
      <c r="BU9" s="125"/>
      <c r="BV9" s="125"/>
      <c r="BW9" s="125"/>
      <c r="BX9" s="125"/>
      <c r="BY9" s="125"/>
      <c r="BZ9" s="125"/>
      <c r="CA9" s="125"/>
      <c r="CB9" s="125"/>
      <c r="CC9" s="125"/>
      <c r="CD9" s="125"/>
      <c r="CE9" s="125"/>
      <c r="CF9" s="125"/>
      <c r="CG9" s="125"/>
      <c r="CH9" s="125"/>
      <c r="CI9" s="125"/>
      <c r="CJ9" s="126"/>
    </row>
    <row r="10" spans="2:88" s="1" customFormat="1" ht="15" customHeight="1" thickBot="1" x14ac:dyDescent="0.3">
      <c r="B10" s="108"/>
      <c r="C10" s="109"/>
      <c r="D10" s="110"/>
      <c r="E10" s="111"/>
      <c r="F10" s="111"/>
      <c r="G10" s="112"/>
      <c r="H10"/>
      <c r="I10" s="113"/>
      <c r="J10" s="114"/>
      <c r="K10" s="115"/>
      <c r="L10" s="116"/>
      <c r="M10" s="117"/>
      <c r="N10" s="118"/>
      <c r="O10" s="119"/>
      <c r="P10" s="133"/>
      <c r="Q10" s="134"/>
      <c r="R10" s="120"/>
      <c r="S10" s="120"/>
      <c r="T10" s="120"/>
      <c r="U10" s="120"/>
      <c r="V10" s="121"/>
      <c r="W10" s="132"/>
      <c r="X10" s="132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9"/>
      <c r="BL10" s="33"/>
      <c r="BM10" s="34"/>
      <c r="BN10" s="35"/>
      <c r="BP10" s="124"/>
      <c r="BQ10" s="125"/>
      <c r="BR10" s="125"/>
      <c r="BS10" s="125"/>
      <c r="BT10" s="125"/>
      <c r="BU10" s="125"/>
      <c r="BV10" s="125"/>
      <c r="BW10" s="125"/>
      <c r="BX10" s="125"/>
      <c r="BY10" s="125"/>
      <c r="BZ10" s="125"/>
      <c r="CA10" s="125"/>
      <c r="CB10" s="125"/>
      <c r="CC10" s="125"/>
      <c r="CD10" s="125"/>
      <c r="CE10" s="125"/>
      <c r="CF10" s="125"/>
      <c r="CG10" s="125"/>
      <c r="CH10" s="125"/>
      <c r="CI10" s="125"/>
      <c r="CJ10" s="126"/>
    </row>
    <row r="11" spans="2:88" s="1" customFormat="1" ht="39.6" customHeight="1" thickBot="1" x14ac:dyDescent="0.3">
      <c r="B11" s="108"/>
      <c r="C11" s="109"/>
      <c r="D11" s="110"/>
      <c r="E11" s="111"/>
      <c r="F11" s="111"/>
      <c r="G11" s="112"/>
      <c r="H11"/>
      <c r="I11" s="113"/>
      <c r="J11" s="114"/>
      <c r="K11" s="77"/>
      <c r="L11" s="78"/>
      <c r="M11" s="79"/>
      <c r="N11" s="118"/>
      <c r="O11" s="119"/>
      <c r="P11" s="133"/>
      <c r="Q11" s="134"/>
      <c r="R11" s="120"/>
      <c r="S11" s="120"/>
      <c r="T11" s="120"/>
      <c r="U11" s="120"/>
      <c r="V11" s="121"/>
      <c r="W11" s="132"/>
      <c r="X11" s="132"/>
      <c r="Y11" s="122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9"/>
      <c r="BL11" s="33"/>
      <c r="BM11" s="34"/>
      <c r="BN11" s="35"/>
      <c r="BP11" s="124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6"/>
    </row>
    <row r="12" spans="2:88" s="1" customFormat="1" ht="15.75" thickBot="1" x14ac:dyDescent="0.3">
      <c r="B12" s="108"/>
      <c r="C12" s="109"/>
      <c r="D12" s="110"/>
      <c r="E12" s="111"/>
      <c r="F12" s="111"/>
      <c r="G12" s="112"/>
      <c r="H12"/>
      <c r="I12" s="113"/>
      <c r="J12" s="114"/>
      <c r="K12" s="115"/>
      <c r="L12" s="116"/>
      <c r="M12" s="117"/>
      <c r="N12" s="118"/>
      <c r="O12" s="119"/>
      <c r="P12" s="133"/>
      <c r="Q12" s="134"/>
      <c r="R12" s="120"/>
      <c r="S12" s="120"/>
      <c r="T12" s="120"/>
      <c r="U12" s="120"/>
      <c r="V12" s="121"/>
      <c r="W12" s="132"/>
      <c r="X12" s="132"/>
      <c r="Y12" s="122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9"/>
      <c r="BL12" s="33"/>
      <c r="BM12" s="34"/>
      <c r="BN12" s="35"/>
      <c r="BP12" s="124"/>
      <c r="BQ12" s="125"/>
      <c r="BR12" s="125"/>
      <c r="BS12" s="125"/>
      <c r="BT12" s="125"/>
      <c r="BU12" s="125"/>
      <c r="BV12" s="125"/>
      <c r="BW12" s="125"/>
      <c r="BX12" s="125"/>
      <c r="BY12" s="125"/>
      <c r="BZ12" s="125"/>
      <c r="CA12" s="125"/>
      <c r="CB12" s="125"/>
      <c r="CC12" s="125"/>
      <c r="CD12" s="125"/>
      <c r="CE12" s="125"/>
      <c r="CF12" s="125"/>
      <c r="CG12" s="125"/>
      <c r="CH12" s="125"/>
      <c r="CI12" s="125"/>
      <c r="CJ12" s="126"/>
    </row>
    <row r="13" spans="2:88" s="1" customFormat="1" ht="15.75" thickBot="1" x14ac:dyDescent="0.3">
      <c r="B13" s="108"/>
      <c r="C13" s="109"/>
      <c r="D13" s="110"/>
      <c r="E13" s="111"/>
      <c r="F13" s="111"/>
      <c r="G13" s="112"/>
      <c r="H13"/>
      <c r="I13" s="113"/>
      <c r="J13" s="114"/>
      <c r="K13" s="115"/>
      <c r="L13" s="116"/>
      <c r="M13" s="117"/>
      <c r="N13" s="118"/>
      <c r="O13" s="119"/>
      <c r="P13" s="133"/>
      <c r="Q13" s="134"/>
      <c r="R13" s="120"/>
      <c r="S13" s="120"/>
      <c r="T13" s="120"/>
      <c r="U13" s="120"/>
      <c r="V13" s="121"/>
      <c r="W13" s="132"/>
      <c r="X13" s="132"/>
      <c r="Y13" s="122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9"/>
      <c r="BL13" s="33"/>
      <c r="BM13" s="34"/>
      <c r="BN13" s="35"/>
      <c r="BP13" s="124"/>
      <c r="BQ13" s="125"/>
      <c r="BR13" s="125"/>
      <c r="BS13" s="125"/>
      <c r="BT13" s="125"/>
      <c r="BU13" s="125"/>
      <c r="BV13" s="125"/>
      <c r="BW13" s="125"/>
      <c r="BX13" s="125"/>
      <c r="BY13" s="125"/>
      <c r="BZ13" s="125"/>
      <c r="CA13" s="125"/>
      <c r="CB13" s="125"/>
      <c r="CC13" s="125"/>
      <c r="CD13" s="125"/>
      <c r="CE13" s="125"/>
      <c r="CF13" s="125"/>
      <c r="CG13" s="125"/>
      <c r="CH13" s="125"/>
      <c r="CI13" s="125"/>
      <c r="CJ13" s="126"/>
    </row>
    <row r="14" spans="2:88" s="1" customFormat="1" ht="15.75" thickBot="1" x14ac:dyDescent="0.3">
      <c r="B14" s="108"/>
      <c r="C14" s="109"/>
      <c r="D14" s="110"/>
      <c r="E14" s="111"/>
      <c r="F14" s="111"/>
      <c r="G14" s="112"/>
      <c r="H14"/>
      <c r="I14" s="113"/>
      <c r="J14" s="114"/>
      <c r="K14" s="115"/>
      <c r="L14" s="116"/>
      <c r="M14" s="117"/>
      <c r="N14" s="118"/>
      <c r="O14" s="119"/>
      <c r="P14" s="133"/>
      <c r="Q14" s="134"/>
      <c r="R14" s="120"/>
      <c r="S14" s="120"/>
      <c r="T14" s="120"/>
      <c r="U14" s="120"/>
      <c r="V14" s="121"/>
      <c r="W14" s="132"/>
      <c r="X14" s="132"/>
      <c r="Y14" s="122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9"/>
      <c r="BL14" s="33"/>
      <c r="BM14" s="34"/>
      <c r="BN14" s="35"/>
      <c r="BP14" s="124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6"/>
    </row>
    <row r="15" spans="2:88" s="1" customFormat="1" ht="15.75" thickBot="1" x14ac:dyDescent="0.3">
      <c r="B15" s="108"/>
      <c r="C15" s="109"/>
      <c r="D15" s="110"/>
      <c r="E15" s="111"/>
      <c r="F15" s="111"/>
      <c r="G15" s="112"/>
      <c r="H15"/>
      <c r="I15" s="113"/>
      <c r="J15" s="114"/>
      <c r="K15" s="115"/>
      <c r="L15" s="116"/>
      <c r="M15" s="117"/>
      <c r="N15" s="118"/>
      <c r="O15" s="119"/>
      <c r="P15" s="133"/>
      <c r="Q15" s="134"/>
      <c r="R15" s="120"/>
      <c r="S15" s="120"/>
      <c r="T15" s="120"/>
      <c r="U15" s="120"/>
      <c r="V15" s="121"/>
      <c r="W15" s="132"/>
      <c r="X15" s="132"/>
      <c r="Y15" s="122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9"/>
      <c r="BL15" s="33"/>
      <c r="BM15" s="34"/>
      <c r="BN15" s="35"/>
      <c r="BP15" s="124"/>
      <c r="BQ15" s="125"/>
      <c r="BR15" s="125"/>
      <c r="BS15" s="125"/>
      <c r="BT15" s="125"/>
      <c r="BU15" s="125"/>
      <c r="BV15" s="125"/>
      <c r="BW15" s="125"/>
      <c r="BX15" s="125"/>
      <c r="BY15" s="125"/>
      <c r="BZ15" s="125"/>
      <c r="CA15" s="125"/>
      <c r="CB15" s="125"/>
      <c r="CC15" s="125"/>
      <c r="CD15" s="125"/>
      <c r="CE15" s="125"/>
      <c r="CF15" s="125"/>
      <c r="CG15" s="125"/>
      <c r="CH15" s="125"/>
      <c r="CI15" s="125"/>
      <c r="CJ15" s="126"/>
    </row>
    <row r="16" spans="2:88" s="1" customFormat="1" ht="15.75" thickBot="1" x14ac:dyDescent="0.3">
      <c r="B16" s="108"/>
      <c r="C16" s="109"/>
      <c r="D16" s="110"/>
      <c r="E16" s="111"/>
      <c r="F16" s="111"/>
      <c r="G16" s="112"/>
      <c r="H16"/>
      <c r="I16" s="113"/>
      <c r="J16" s="114"/>
      <c r="K16" s="115"/>
      <c r="L16" s="116"/>
      <c r="M16" s="117"/>
      <c r="N16" s="118"/>
      <c r="O16" s="119"/>
      <c r="P16" s="133"/>
      <c r="Q16" s="134"/>
      <c r="R16" s="120"/>
      <c r="S16" s="120"/>
      <c r="T16" s="120"/>
      <c r="U16" s="120"/>
      <c r="V16" s="121"/>
      <c r="W16" s="132"/>
      <c r="X16" s="132"/>
      <c r="Y16" s="122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9"/>
      <c r="BL16" s="33"/>
      <c r="BM16" s="34"/>
      <c r="BN16" s="35"/>
      <c r="BP16" s="124"/>
      <c r="BQ16" s="125"/>
      <c r="BR16" s="125"/>
      <c r="BS16" s="125"/>
      <c r="BT16" s="125"/>
      <c r="BU16" s="125"/>
      <c r="BV16" s="125"/>
      <c r="BW16" s="125"/>
      <c r="BX16" s="125"/>
      <c r="BY16" s="125"/>
      <c r="BZ16" s="125"/>
      <c r="CA16" s="125"/>
      <c r="CB16" s="125"/>
      <c r="CC16" s="125"/>
      <c r="CD16" s="125"/>
      <c r="CE16" s="125"/>
      <c r="CF16" s="125"/>
      <c r="CG16" s="125"/>
      <c r="CH16" s="125"/>
      <c r="CI16" s="125"/>
      <c r="CJ16" s="126"/>
    </row>
    <row r="17" spans="2:88" s="1" customFormat="1" ht="15.75" thickBot="1" x14ac:dyDescent="0.3">
      <c r="B17" s="108"/>
      <c r="C17" s="109"/>
      <c r="D17" s="110"/>
      <c r="E17" s="111"/>
      <c r="F17" s="111"/>
      <c r="G17" s="112"/>
      <c r="H17"/>
      <c r="I17" s="113"/>
      <c r="J17" s="114"/>
      <c r="K17" s="115"/>
      <c r="L17" s="116"/>
      <c r="M17" s="117"/>
      <c r="N17" s="118"/>
      <c r="O17" s="119"/>
      <c r="P17" s="133"/>
      <c r="Q17" s="134"/>
      <c r="R17" s="120"/>
      <c r="S17" s="120"/>
      <c r="T17" s="120"/>
      <c r="U17" s="120"/>
      <c r="V17" s="121"/>
      <c r="W17" s="132"/>
      <c r="X17" s="132"/>
      <c r="Y17" s="122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9"/>
      <c r="BL17" s="33"/>
      <c r="BM17" s="34"/>
      <c r="BN17" s="35"/>
      <c r="BP17" s="124"/>
      <c r="BQ17" s="125"/>
      <c r="BR17" s="125"/>
      <c r="BS17" s="125"/>
      <c r="BT17" s="125"/>
      <c r="BU17" s="125"/>
      <c r="BV17" s="125"/>
      <c r="BW17" s="125"/>
      <c r="BX17" s="125"/>
      <c r="BY17" s="125"/>
      <c r="BZ17" s="125"/>
      <c r="CA17" s="125"/>
      <c r="CB17" s="125"/>
      <c r="CC17" s="125"/>
      <c r="CD17" s="125"/>
      <c r="CE17" s="125"/>
      <c r="CF17" s="125"/>
      <c r="CG17" s="125"/>
      <c r="CH17" s="125"/>
      <c r="CI17" s="125"/>
      <c r="CJ17" s="126"/>
    </row>
    <row r="18" spans="2:88" s="1" customFormat="1" x14ac:dyDescent="0.25">
      <c r="B18" s="108"/>
      <c r="C18" s="109"/>
      <c r="D18" s="110"/>
      <c r="E18" s="111"/>
      <c r="F18" s="111"/>
      <c r="G18" s="112"/>
      <c r="H18"/>
      <c r="I18" s="113"/>
      <c r="J18" s="114"/>
      <c r="K18" s="115"/>
      <c r="L18" s="116"/>
      <c r="M18" s="117"/>
      <c r="N18" s="118"/>
      <c r="O18" s="119"/>
      <c r="P18" s="133"/>
      <c r="Q18" s="134"/>
      <c r="R18" s="120"/>
      <c r="S18" s="120"/>
      <c r="T18" s="120"/>
      <c r="U18" s="120"/>
      <c r="V18" s="121"/>
      <c r="W18" s="132"/>
      <c r="X18" s="132"/>
      <c r="Y18" s="122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9"/>
      <c r="BL18" s="33"/>
      <c r="BM18" s="34"/>
      <c r="BN18" s="35"/>
      <c r="BP18" s="124"/>
      <c r="BQ18" s="125"/>
      <c r="BR18" s="125"/>
      <c r="BS18" s="125"/>
      <c r="BT18" s="125"/>
      <c r="BU18" s="125"/>
      <c r="BV18" s="125"/>
      <c r="BW18" s="125"/>
      <c r="BX18" s="125"/>
      <c r="BY18" s="125"/>
      <c r="BZ18" s="125"/>
      <c r="CA18" s="125"/>
      <c r="CB18" s="125"/>
      <c r="CC18" s="125"/>
      <c r="CD18" s="125"/>
      <c r="CE18" s="125"/>
      <c r="CF18" s="125"/>
      <c r="CG18" s="125"/>
      <c r="CH18" s="125"/>
      <c r="CI18" s="125"/>
      <c r="CJ18" s="126"/>
    </row>
    <row r="19" spans="2:88" s="1" customFormat="1" ht="15" customHeight="1" x14ac:dyDescent="0.25">
      <c r="B19" s="56"/>
      <c r="C19" s="57"/>
      <c r="D19" s="63"/>
      <c r="E19" s="49"/>
      <c r="F19" s="49"/>
      <c r="G19" s="64"/>
      <c r="H19"/>
      <c r="I19" s="72"/>
      <c r="J19" s="73"/>
      <c r="K19" s="80"/>
      <c r="L19" s="50"/>
      <c r="M19" s="81"/>
      <c r="N19" s="80"/>
      <c r="O19" s="38"/>
      <c r="P19" s="80"/>
      <c r="Q19" s="37"/>
      <c r="R19" s="37"/>
      <c r="S19" s="37"/>
      <c r="T19" s="37"/>
      <c r="U19" s="37"/>
      <c r="V19" s="51"/>
      <c r="W19" s="37"/>
      <c r="X19" s="37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130"/>
      <c r="BL19" s="36"/>
      <c r="BM19" s="37"/>
      <c r="BN19" s="38"/>
      <c r="BP19" s="8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81"/>
    </row>
    <row r="20" spans="2:88" ht="15" customHeight="1" thickBot="1" x14ac:dyDescent="0.3">
      <c r="B20" s="58" t="s">
        <v>17</v>
      </c>
      <c r="C20" s="59"/>
      <c r="D20" s="65" t="s">
        <v>17</v>
      </c>
      <c r="E20" s="66"/>
      <c r="F20" s="66"/>
      <c r="G20" s="67" t="s">
        <v>17</v>
      </c>
      <c r="I20" s="74" t="s">
        <v>17</v>
      </c>
      <c r="J20" s="75" t="s">
        <v>17</v>
      </c>
      <c r="K20" s="15" t="s">
        <v>17</v>
      </c>
      <c r="L20" s="16" t="s">
        <v>17</v>
      </c>
      <c r="M20" s="82" t="s">
        <v>17</v>
      </c>
      <c r="N20" s="17" t="s">
        <v>17</v>
      </c>
      <c r="O20" s="84" t="s">
        <v>17</v>
      </c>
      <c r="P20" s="18" t="s">
        <v>17</v>
      </c>
      <c r="Q20" s="19" t="s">
        <v>17</v>
      </c>
      <c r="R20" s="19" t="s">
        <v>17</v>
      </c>
      <c r="S20" s="19"/>
      <c r="T20" s="19"/>
      <c r="U20" s="19"/>
      <c r="V20" s="19" t="s">
        <v>17</v>
      </c>
      <c r="W20" s="19" t="s">
        <v>17</v>
      </c>
      <c r="X20" s="19" t="s">
        <v>17</v>
      </c>
      <c r="Y20" s="19" t="s">
        <v>17</v>
      </c>
      <c r="Z20" s="19" t="s">
        <v>17</v>
      </c>
      <c r="AA20" s="19" t="s">
        <v>17</v>
      </c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 t="s">
        <v>17</v>
      </c>
      <c r="BI20" s="19"/>
      <c r="BJ20" s="19"/>
      <c r="BK20" s="131"/>
      <c r="BL20" s="20" t="s">
        <v>17</v>
      </c>
      <c r="BM20" s="21" t="s">
        <v>17</v>
      </c>
      <c r="BN20" s="22" t="s">
        <v>17</v>
      </c>
      <c r="BP20" s="98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99"/>
      <c r="CB20" s="99"/>
      <c r="CC20" s="99"/>
      <c r="CD20" s="99"/>
      <c r="CE20" s="99"/>
      <c r="CF20" s="99"/>
      <c r="CG20" s="99"/>
      <c r="CH20" s="99"/>
      <c r="CI20" s="99"/>
      <c r="CJ20" s="100"/>
    </row>
  </sheetData>
  <sheetProtection insertColumns="0" insertRows="0" selectLockedCells="1" selectUnlockedCells="1"/>
  <dataConsolidate/>
  <mergeCells count="6">
    <mergeCell ref="BP5:CJ5"/>
    <mergeCell ref="C2:F2"/>
    <mergeCell ref="K4:BN4"/>
    <mergeCell ref="B5:C5"/>
    <mergeCell ref="D5:G5"/>
    <mergeCell ref="I5:J5"/>
  </mergeCells>
  <dataValidations count="1">
    <dataValidation type="custom" showInputMessage="1" showErrorMessage="1" sqref="B19:G19 BP19:CJ20 I19:BN19" xr:uid="{00000000-0002-0000-0000-000000000000}">
      <formula1 xml:space="preserve"> ""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&amp;C&amp;1#&amp;"Calibri"&amp;10&amp;K000000C1 - Interne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2.saveThisWorkbook">
                <anchor moveWithCells="1" sizeWithCells="1">
                  <from>
                    <xdr:col>7</xdr:col>
                    <xdr:colOff>66675</xdr:colOff>
                    <xdr:row>0</xdr:row>
                    <xdr:rowOff>142875</xdr:rowOff>
                  </from>
                  <to>
                    <xdr:col>9</xdr:col>
                    <xdr:colOff>942975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ErrorMessage="1" prompt="Veuillez choisir l'environnement de génération" xr:uid="{00000000-0002-0000-0000-000001000000}">
          <x14:formula1>
            <xm:f>Config!$A$20:$A$22</xm:f>
          </x14:formula1>
          <xm:sqref>C2:F2</xm:sqref>
        </x14:dataValidation>
        <x14:dataValidation type="list" allowBlank="1" showInputMessage="1" showErrorMessage="1" xr:uid="{00000000-0002-0000-0000-000002000000}">
          <x14:formula1>
            <xm:f>'Listes Deroulantes'!$B$5</xm:f>
          </x14:formula1>
          <xm:sqref>K7:K18</xm:sqref>
        </x14:dataValidation>
        <x14:dataValidation type="list" allowBlank="1" showInputMessage="1" showErrorMessage="1" xr:uid="{00000000-0002-0000-0000-000003000000}">
          <x14:formula1>
            <xm:f>'Listes Deroulantes'!$H$5:$H$6</xm:f>
          </x14:formula1>
          <xm:sqref>P7:P18</xm:sqref>
        </x14:dataValidation>
        <x14:dataValidation type="list" allowBlank="1" showInputMessage="1" showErrorMessage="1" xr:uid="{00000000-0002-0000-0000-000004000000}">
          <x14:formula1>
            <xm:f>'Listes Deroulantes'!$D$5:$D$6</xm:f>
          </x14:formula1>
          <xm:sqref>M7:M18</xm:sqref>
        </x14:dataValidation>
        <x14:dataValidation type="list" allowBlank="1" showInputMessage="1" showErrorMessage="1" xr:uid="{00000000-0002-0000-0000-000005000000}">
          <x14:formula1>
            <xm:f>'Listes Deroulantes'!$J$5:$J$19</xm:f>
          </x14:formula1>
          <xm:sqref>Q7:Q18</xm:sqref>
        </x14:dataValidation>
        <x14:dataValidation type="list" showInputMessage="1" showErrorMessage="1" xr:uid="{00000000-0002-0000-0000-000006000000}">
          <x14:formula1>
            <xm:f>'Listes Deroulantes'!$R$5:$R$48</xm:f>
          </x14:formula1>
          <xm:sqref>BN7:BN18</xm:sqref>
        </x14:dataValidation>
        <x14:dataValidation type="list" allowBlank="1" showInputMessage="1" showErrorMessage="1" xr:uid="{00000000-0002-0000-0000-000007000000}">
          <x14:formula1>
            <xm:f>'Listes Deroulantes'!$P$5:$P$6</xm:f>
          </x14:formula1>
          <xm:sqref>BM7:BM18</xm:sqref>
        </x14:dataValidation>
        <x14:dataValidation type="list" allowBlank="1" showInputMessage="1" showErrorMessage="1" xr:uid="{00000000-0002-0000-0000-000009000000}">
          <x14:formula1>
            <xm:f>'Listes Deroulantes'!$N$5:$N$342</xm:f>
          </x14:formula1>
          <xm:sqref>BL7:BL18</xm:sqref>
        </x14:dataValidation>
        <x14:dataValidation type="list" allowBlank="1" showInputMessage="1" showErrorMessage="1" xr:uid="{00000000-0002-0000-0000-00000A000000}">
          <x14:formula1>
            <xm:f>'Listes Deroulantes'!$L$5:$L$62</xm:f>
          </x14:formula1>
          <xm:sqref>R7:R18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theme="4" tint="-0.499984740745262"/>
  </sheetPr>
  <dimension ref="A1:E40"/>
  <sheetViews>
    <sheetView showGridLines="0" topLeftCell="A3" zoomScale="85" zoomScaleNormal="85" workbookViewId="0">
      <selection activeCell="B36" sqref="B36"/>
    </sheetView>
  </sheetViews>
  <sheetFormatPr baseColWidth="10" defaultRowHeight="12.75" x14ac:dyDescent="0.2"/>
  <cols>
    <col min="1" max="1" width="38" customWidth="1"/>
    <col min="2" max="2" width="64" bestFit="1" customWidth="1"/>
    <col min="3" max="3" width="72.5703125" bestFit="1" customWidth="1"/>
    <col min="4" max="4" width="62.5703125" customWidth="1"/>
    <col min="5" max="5" width="61.42578125" customWidth="1"/>
  </cols>
  <sheetData>
    <row r="1" spans="1:5" ht="13.5" thickBot="1" x14ac:dyDescent="0.25"/>
    <row r="2" spans="1:5" ht="29.25" thickBot="1" x14ac:dyDescent="0.5">
      <c r="A2" s="146" t="s">
        <v>25</v>
      </c>
      <c r="B2" s="147"/>
      <c r="C2" s="148"/>
    </row>
    <row r="3" spans="1:5" ht="20.25" x14ac:dyDescent="0.2">
      <c r="A3" s="11"/>
    </row>
    <row r="4" spans="1:5" ht="20.25" x14ac:dyDescent="0.2">
      <c r="A4" s="11"/>
    </row>
    <row r="5" spans="1:5" ht="12.75" customHeight="1" thickBot="1" x14ac:dyDescent="0.25">
      <c r="A5" s="13"/>
    </row>
    <row r="6" spans="1:5" ht="27.75" customHeight="1" thickBot="1" x14ac:dyDescent="0.25">
      <c r="A6" s="143" t="s">
        <v>58</v>
      </c>
      <c r="B6" s="144"/>
      <c r="C6" s="145"/>
    </row>
    <row r="7" spans="1:5" ht="24" customHeight="1" x14ac:dyDescent="0.2">
      <c r="A7" s="12" t="s">
        <v>59</v>
      </c>
      <c r="B7" s="12" t="s">
        <v>38</v>
      </c>
      <c r="C7" s="12" t="s">
        <v>60</v>
      </c>
    </row>
    <row r="8" spans="1:5" ht="12.75" customHeight="1" x14ac:dyDescent="0.2">
      <c r="A8" s="1" t="s">
        <v>61</v>
      </c>
      <c r="B8" s="9" t="s">
        <v>486</v>
      </c>
      <c r="C8" s="1"/>
    </row>
    <row r="9" spans="1:5" ht="12.75" customHeight="1" x14ac:dyDescent="0.2">
      <c r="A9" s="1" t="s">
        <v>62</v>
      </c>
      <c r="B9" s="9" t="s">
        <v>487</v>
      </c>
      <c r="C9" s="1"/>
    </row>
    <row r="10" spans="1:5" ht="12.75" customHeight="1" x14ac:dyDescent="0.2">
      <c r="A10" s="13" t="s">
        <v>63</v>
      </c>
      <c r="B10" s="1" t="s">
        <v>573</v>
      </c>
      <c r="C10" s="1"/>
    </row>
    <row r="11" spans="1:5" ht="12.75" customHeight="1" x14ac:dyDescent="0.2">
      <c r="A11" s="13"/>
      <c r="B11" s="1"/>
      <c r="C11" s="1"/>
    </row>
    <row r="12" spans="1:5" ht="12.75" customHeight="1" x14ac:dyDescent="0.2">
      <c r="A12" s="9"/>
    </row>
    <row r="13" spans="1:5" ht="27.75" customHeight="1" x14ac:dyDescent="0.2">
      <c r="A13" s="149" t="s">
        <v>31</v>
      </c>
      <c r="B13" s="150"/>
      <c r="C13" s="150"/>
      <c r="D13" s="151"/>
      <c r="E13" s="151"/>
    </row>
    <row r="14" spans="1:5" ht="24" customHeight="1" x14ac:dyDescent="0.2">
      <c r="A14" s="12" t="s">
        <v>26</v>
      </c>
      <c r="B14" s="12" t="s">
        <v>30</v>
      </c>
      <c r="C14" s="12" t="s">
        <v>29</v>
      </c>
      <c r="D14" s="12" t="s">
        <v>64</v>
      </c>
      <c r="E14" s="12" t="s">
        <v>65</v>
      </c>
    </row>
    <row r="15" spans="1:5" ht="12.75" customHeight="1" x14ac:dyDescent="0.2">
      <c r="A15" s="13" t="str">
        <f>Lots!C2</f>
        <v>Local</v>
      </c>
      <c r="B15" s="9" t="str">
        <f>VLOOKUP(Lots!C2,Config!A20:E28,2,FALSE)</f>
        <v>\\Dehapp001\ged\GED_BATCH_LDU50_TRAVAIL\excelLotGenerateur\ARCHIVE_DES_FICHIERS_TRAITES</v>
      </c>
      <c r="C15" s="9" t="str">
        <f>VLOOKUP(Lots!C2,Config!A20:E28,3,FALSE)</f>
        <v>E:\product\log\Plateforme_Pegase_WS\LDU02\LDU02_pre_injecteur_fonctionnel.log</v>
      </c>
      <c r="D15" s="9" t="str">
        <f>VLOOKUP(Lots!C2,Config!A20:E28,4,FALSE)</f>
        <v>E:\product\log\Plateforme_Pegase_WS\LDU02\LDU02_pre_injecteur.log</v>
      </c>
      <c r="E15" s="9" t="str">
        <f>VLOOKUP(Lots!C2,Config!A20:E28,5,FALSE)</f>
        <v>E:\GED_BATCH_PEGASE_TRAVAIL\PREINJ\LOGERR\</v>
      </c>
    </row>
    <row r="16" spans="1:5" ht="12.75" customHeight="1" x14ac:dyDescent="0.2">
      <c r="A16" s="13"/>
    </row>
    <row r="17" spans="1:5" ht="12.75" customHeight="1" thickBot="1" x14ac:dyDescent="0.25">
      <c r="A17" s="9"/>
    </row>
    <row r="18" spans="1:5" ht="27.75" customHeight="1" thickBot="1" x14ac:dyDescent="0.25">
      <c r="A18" s="143" t="s">
        <v>32</v>
      </c>
      <c r="B18" s="144"/>
      <c r="C18" s="144"/>
      <c r="D18" s="139"/>
      <c r="E18" s="140"/>
    </row>
    <row r="19" spans="1:5" ht="24" customHeight="1" x14ac:dyDescent="0.2">
      <c r="A19" s="12" t="s">
        <v>26</v>
      </c>
      <c r="B19" s="12" t="s">
        <v>30</v>
      </c>
      <c r="C19" s="12" t="s">
        <v>29</v>
      </c>
      <c r="D19" s="12" t="s">
        <v>64</v>
      </c>
      <c r="E19" s="12" t="s">
        <v>65</v>
      </c>
    </row>
    <row r="20" spans="1:5" x14ac:dyDescent="0.2">
      <c r="A20" s="1" t="s">
        <v>27</v>
      </c>
      <c r="B20" s="9" t="s">
        <v>487</v>
      </c>
      <c r="C20" s="9" t="s">
        <v>107</v>
      </c>
      <c r="D20" s="9" t="s">
        <v>108</v>
      </c>
      <c r="E20" s="9" t="s">
        <v>115</v>
      </c>
    </row>
    <row r="21" spans="1:5" x14ac:dyDescent="0.2">
      <c r="A21" s="13" t="s">
        <v>88</v>
      </c>
      <c r="B21" s="9" t="s">
        <v>488</v>
      </c>
      <c r="C21" s="9" t="s">
        <v>109</v>
      </c>
      <c r="D21" s="9" t="s">
        <v>110</v>
      </c>
      <c r="E21" s="9" t="s">
        <v>489</v>
      </c>
    </row>
    <row r="22" spans="1:5" x14ac:dyDescent="0.2">
      <c r="A22" s="13" t="s">
        <v>89</v>
      </c>
      <c r="B22" s="13" t="s">
        <v>113</v>
      </c>
      <c r="C22" s="13" t="s">
        <v>111</v>
      </c>
      <c r="D22" s="13" t="s">
        <v>112</v>
      </c>
      <c r="E22" s="13" t="s">
        <v>114</v>
      </c>
    </row>
    <row r="40" spans="1:1" x14ac:dyDescent="0.2">
      <c r="A40" s="9"/>
    </row>
  </sheetData>
  <mergeCells count="4">
    <mergeCell ref="A6:C6"/>
    <mergeCell ref="A2:C2"/>
    <mergeCell ref="A18:E18"/>
    <mergeCell ref="A13:E13"/>
  </mergeCells>
  <pageMargins left="0.7" right="0.7" top="0.75" bottom="0.75" header="0.3" footer="0.3"/>
  <pageSetup paperSize="9" orientation="portrait" r:id="rId1"/>
  <headerFooter>
    <oddFooter>&amp;C&amp;1#&amp;"Calibri"&amp;10&amp;K000000C1 - Interne</oddFooter>
  </headerFooter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R342"/>
  <sheetViews>
    <sheetView workbookViewId="0">
      <selection activeCell="J37" sqref="J37"/>
    </sheetView>
  </sheetViews>
  <sheetFormatPr baseColWidth="10" defaultRowHeight="12.75" x14ac:dyDescent="0.2"/>
  <cols>
    <col min="1" max="1" width="3" customWidth="1"/>
    <col min="2" max="2" width="5.85546875" bestFit="1" customWidth="1"/>
    <col min="3" max="3" width="1.5703125" customWidth="1"/>
    <col min="4" max="4" width="8.5703125" bestFit="1" customWidth="1"/>
    <col min="5" max="5" width="5.5703125" customWidth="1"/>
    <col min="6" max="6" width="18.42578125" bestFit="1" customWidth="1"/>
    <col min="7" max="7" width="5.5703125" customWidth="1"/>
    <col min="8" max="8" width="7" bestFit="1" customWidth="1"/>
    <col min="9" max="9" width="1.5703125" customWidth="1"/>
    <col min="10" max="10" width="14" bestFit="1" customWidth="1"/>
    <col min="11" max="11" width="1.5703125" customWidth="1"/>
    <col min="12" max="12" width="17.5703125" bestFit="1" customWidth="1"/>
    <col min="13" max="13" width="5.5703125" customWidth="1"/>
    <col min="14" max="14" width="56" bestFit="1" customWidth="1"/>
    <col min="15" max="15" width="1.5703125" customWidth="1"/>
    <col min="16" max="16" width="14.5703125" bestFit="1" customWidth="1"/>
    <col min="17" max="17" width="1.5703125" customWidth="1"/>
    <col min="18" max="18" width="110.5703125" bestFit="1" customWidth="1"/>
  </cols>
  <sheetData>
    <row r="1" spans="2:18" x14ac:dyDescent="0.2">
      <c r="N1" s="9"/>
      <c r="O1" s="9"/>
      <c r="P1" s="9"/>
    </row>
    <row r="2" spans="2:18" x14ac:dyDescent="0.2">
      <c r="B2" s="29" t="s">
        <v>74</v>
      </c>
      <c r="C2" s="29"/>
      <c r="D2" s="29"/>
      <c r="F2" s="29" t="s">
        <v>8</v>
      </c>
      <c r="H2" s="29" t="s">
        <v>9</v>
      </c>
      <c r="I2" s="29"/>
      <c r="J2" s="29"/>
      <c r="K2" s="29"/>
      <c r="L2" s="29"/>
      <c r="M2" s="9"/>
      <c r="N2" s="29" t="s">
        <v>80</v>
      </c>
      <c r="O2" s="29"/>
      <c r="P2" s="29"/>
      <c r="Q2" s="29"/>
      <c r="R2" s="29"/>
    </row>
    <row r="3" spans="2:18" ht="13.5" thickBot="1" x14ac:dyDescent="0.25"/>
    <row r="4" spans="2:18" ht="13.5" thickBot="1" x14ac:dyDescent="0.25">
      <c r="B4" s="27" t="s">
        <v>1</v>
      </c>
      <c r="D4" s="27" t="s">
        <v>3</v>
      </c>
      <c r="F4" s="39" t="s">
        <v>4</v>
      </c>
      <c r="H4" s="106" t="s">
        <v>6</v>
      </c>
      <c r="J4" s="39" t="s">
        <v>10</v>
      </c>
      <c r="L4" s="39" t="s">
        <v>11</v>
      </c>
      <c r="N4" s="39" t="s">
        <v>86</v>
      </c>
      <c r="O4" s="9"/>
      <c r="P4" s="27" t="s">
        <v>15</v>
      </c>
      <c r="R4" s="39" t="s">
        <v>85</v>
      </c>
    </row>
    <row r="5" spans="2:18" ht="13.5" thickBot="1" x14ac:dyDescent="0.25">
      <c r="B5" s="24" t="s">
        <v>116</v>
      </c>
      <c r="C5" s="9"/>
      <c r="D5" s="26" t="s">
        <v>7</v>
      </c>
      <c r="F5" s="40" t="s">
        <v>93</v>
      </c>
      <c r="H5" s="107" t="s">
        <v>128</v>
      </c>
      <c r="I5" s="9"/>
      <c r="J5" s="40" t="s">
        <v>90</v>
      </c>
      <c r="K5" s="9"/>
      <c r="L5" s="40" t="s">
        <v>449</v>
      </c>
      <c r="M5" s="9"/>
      <c r="N5" s="40" t="s">
        <v>129</v>
      </c>
      <c r="P5" s="26" t="s">
        <v>16</v>
      </c>
      <c r="R5" s="101" t="s">
        <v>490</v>
      </c>
    </row>
    <row r="6" spans="2:18" ht="13.5" thickBot="1" x14ac:dyDescent="0.25">
      <c r="D6" s="25" t="s">
        <v>73</v>
      </c>
      <c r="F6" s="28" t="s">
        <v>94</v>
      </c>
      <c r="H6" s="25" t="s">
        <v>127</v>
      </c>
      <c r="J6" s="28" t="s">
        <v>117</v>
      </c>
      <c r="L6" s="28" t="s">
        <v>450</v>
      </c>
      <c r="N6" s="28" t="s">
        <v>130</v>
      </c>
      <c r="P6" s="25" t="s">
        <v>87</v>
      </c>
      <c r="R6" s="102" t="s">
        <v>491</v>
      </c>
    </row>
    <row r="7" spans="2:18" x14ac:dyDescent="0.2">
      <c r="F7" s="28" t="s">
        <v>95</v>
      </c>
      <c r="I7" s="9"/>
      <c r="J7" s="28" t="s">
        <v>118</v>
      </c>
      <c r="K7" s="9"/>
      <c r="L7" s="28" t="s">
        <v>451</v>
      </c>
      <c r="M7" s="9"/>
      <c r="N7" s="28" t="s">
        <v>131</v>
      </c>
      <c r="R7" s="102" t="s">
        <v>492</v>
      </c>
    </row>
    <row r="8" spans="2:18" x14ac:dyDescent="0.2">
      <c r="C8" s="9"/>
      <c r="D8" s="9"/>
      <c r="F8" s="105" t="s">
        <v>75</v>
      </c>
      <c r="J8" s="28" t="s">
        <v>94</v>
      </c>
      <c r="L8" s="28" t="s">
        <v>452</v>
      </c>
      <c r="N8" s="28" t="s">
        <v>98</v>
      </c>
      <c r="R8" s="102" t="s">
        <v>493</v>
      </c>
    </row>
    <row r="9" spans="2:18" ht="13.5" thickBot="1" x14ac:dyDescent="0.25">
      <c r="C9" s="9"/>
      <c r="D9" s="9"/>
      <c r="F9" s="25" t="s">
        <v>126</v>
      </c>
      <c r="G9" s="9"/>
      <c r="J9" s="28" t="s">
        <v>119</v>
      </c>
      <c r="L9" s="28" t="s">
        <v>453</v>
      </c>
      <c r="N9" s="28" t="s">
        <v>132</v>
      </c>
      <c r="R9" s="102" t="s">
        <v>494</v>
      </c>
    </row>
    <row r="10" spans="2:18" x14ac:dyDescent="0.2">
      <c r="J10" s="28" t="s">
        <v>120</v>
      </c>
      <c r="L10" s="28" t="s">
        <v>454</v>
      </c>
      <c r="N10" s="28" t="s">
        <v>133</v>
      </c>
      <c r="R10" s="102" t="s">
        <v>495</v>
      </c>
    </row>
    <row r="11" spans="2:18" x14ac:dyDescent="0.2">
      <c r="J11" s="28" t="s">
        <v>97</v>
      </c>
      <c r="L11" s="28" t="s">
        <v>455</v>
      </c>
      <c r="N11" s="28" t="s">
        <v>134</v>
      </c>
      <c r="R11" s="102" t="s">
        <v>496</v>
      </c>
    </row>
    <row r="12" spans="2:18" x14ac:dyDescent="0.2">
      <c r="J12" s="28" t="s">
        <v>121</v>
      </c>
      <c r="L12" s="28" t="s">
        <v>456</v>
      </c>
      <c r="N12" s="28" t="s">
        <v>135</v>
      </c>
      <c r="R12" s="102" t="s">
        <v>497</v>
      </c>
    </row>
    <row r="13" spans="2:18" x14ac:dyDescent="0.2">
      <c r="J13" s="28" t="s">
        <v>122</v>
      </c>
      <c r="L13" s="28" t="s">
        <v>457</v>
      </c>
      <c r="N13" s="28" t="s">
        <v>136</v>
      </c>
      <c r="R13" s="102" t="s">
        <v>498</v>
      </c>
    </row>
    <row r="14" spans="2:18" x14ac:dyDescent="0.2">
      <c r="I14" s="9"/>
      <c r="J14" s="105" t="s">
        <v>91</v>
      </c>
      <c r="K14" s="9"/>
      <c r="L14" s="28" t="s">
        <v>458</v>
      </c>
      <c r="M14" s="9"/>
      <c r="N14" s="28" t="s">
        <v>137</v>
      </c>
      <c r="R14" s="102" t="s">
        <v>499</v>
      </c>
    </row>
    <row r="15" spans="2:18" x14ac:dyDescent="0.2">
      <c r="J15" s="28" t="s">
        <v>123</v>
      </c>
      <c r="L15" s="28" t="s">
        <v>459</v>
      </c>
      <c r="N15" s="28" t="s">
        <v>138</v>
      </c>
      <c r="R15" s="102" t="s">
        <v>500</v>
      </c>
    </row>
    <row r="16" spans="2:18" x14ac:dyDescent="0.2">
      <c r="J16" s="28" t="s">
        <v>124</v>
      </c>
      <c r="L16" s="28" t="s">
        <v>460</v>
      </c>
      <c r="N16" s="28" t="s">
        <v>139</v>
      </c>
      <c r="R16" s="102" t="s">
        <v>501</v>
      </c>
    </row>
    <row r="17" spans="6:18" x14ac:dyDescent="0.2">
      <c r="J17" s="28" t="s">
        <v>125</v>
      </c>
      <c r="L17" s="28" t="s">
        <v>461</v>
      </c>
      <c r="N17" s="28" t="s">
        <v>140</v>
      </c>
      <c r="R17" s="102" t="s">
        <v>502</v>
      </c>
    </row>
    <row r="18" spans="6:18" x14ac:dyDescent="0.2">
      <c r="F18" s="9"/>
      <c r="J18" s="28" t="s">
        <v>92</v>
      </c>
      <c r="L18" s="28" t="s">
        <v>462</v>
      </c>
      <c r="N18" s="28" t="s">
        <v>141</v>
      </c>
      <c r="R18" s="102" t="s">
        <v>503</v>
      </c>
    </row>
    <row r="19" spans="6:18" ht="13.5" thickBot="1" x14ac:dyDescent="0.25">
      <c r="J19" s="25" t="s">
        <v>477</v>
      </c>
      <c r="L19" s="28" t="s">
        <v>463</v>
      </c>
      <c r="N19" s="28" t="s">
        <v>142</v>
      </c>
      <c r="R19" s="102" t="s">
        <v>504</v>
      </c>
    </row>
    <row r="20" spans="6:18" x14ac:dyDescent="0.2">
      <c r="L20" s="28" t="s">
        <v>464</v>
      </c>
      <c r="N20" s="28" t="s">
        <v>143</v>
      </c>
      <c r="R20" s="102" t="s">
        <v>505</v>
      </c>
    </row>
    <row r="21" spans="6:18" x14ac:dyDescent="0.2">
      <c r="L21" s="28" t="s">
        <v>106</v>
      </c>
      <c r="N21" s="28" t="s">
        <v>144</v>
      </c>
      <c r="R21" s="102" t="s">
        <v>506</v>
      </c>
    </row>
    <row r="22" spans="6:18" x14ac:dyDescent="0.2">
      <c r="L22" s="28" t="s">
        <v>465</v>
      </c>
      <c r="N22" s="28" t="s">
        <v>145</v>
      </c>
      <c r="R22" s="102" t="s">
        <v>507</v>
      </c>
    </row>
    <row r="23" spans="6:18" x14ac:dyDescent="0.2">
      <c r="L23" s="28" t="s">
        <v>466</v>
      </c>
      <c r="N23" s="28" t="s">
        <v>146</v>
      </c>
      <c r="R23" s="102" t="s">
        <v>508</v>
      </c>
    </row>
    <row r="24" spans="6:18" x14ac:dyDescent="0.2">
      <c r="L24" s="28" t="s">
        <v>467</v>
      </c>
      <c r="N24" s="28" t="s">
        <v>147</v>
      </c>
      <c r="R24" s="102" t="s">
        <v>509</v>
      </c>
    </row>
    <row r="25" spans="6:18" x14ac:dyDescent="0.2">
      <c r="L25" s="28" t="s">
        <v>468</v>
      </c>
      <c r="N25" s="28" t="s">
        <v>148</v>
      </c>
      <c r="R25" s="102" t="s">
        <v>510</v>
      </c>
    </row>
    <row r="26" spans="6:18" x14ac:dyDescent="0.2">
      <c r="L26" s="28" t="s">
        <v>469</v>
      </c>
      <c r="N26" s="28" t="s">
        <v>149</v>
      </c>
      <c r="R26" s="102" t="s">
        <v>511</v>
      </c>
    </row>
    <row r="27" spans="6:18" x14ac:dyDescent="0.2">
      <c r="L27" s="28" t="s">
        <v>470</v>
      </c>
      <c r="N27" s="28" t="s">
        <v>150</v>
      </c>
      <c r="R27" s="102" t="s">
        <v>512</v>
      </c>
    </row>
    <row r="28" spans="6:18" x14ac:dyDescent="0.2">
      <c r="J28" s="9"/>
      <c r="L28" s="28" t="s">
        <v>471</v>
      </c>
      <c r="N28" s="28" t="s">
        <v>151</v>
      </c>
      <c r="R28" s="102" t="s">
        <v>513</v>
      </c>
    </row>
    <row r="29" spans="6:18" x14ac:dyDescent="0.2">
      <c r="L29" s="28" t="s">
        <v>472</v>
      </c>
      <c r="N29" s="28" t="s">
        <v>152</v>
      </c>
      <c r="R29" s="102" t="s">
        <v>514</v>
      </c>
    </row>
    <row r="30" spans="6:18" x14ac:dyDescent="0.2">
      <c r="L30" s="28" t="s">
        <v>473</v>
      </c>
      <c r="N30" s="28" t="s">
        <v>153</v>
      </c>
      <c r="R30" s="102" t="s">
        <v>515</v>
      </c>
    </row>
    <row r="31" spans="6:18" x14ac:dyDescent="0.2">
      <c r="L31" s="28" t="s">
        <v>474</v>
      </c>
      <c r="N31" s="28" t="s">
        <v>154</v>
      </c>
      <c r="R31" s="102" t="s">
        <v>516</v>
      </c>
    </row>
    <row r="32" spans="6:18" x14ac:dyDescent="0.2">
      <c r="L32" s="28" t="s">
        <v>535</v>
      </c>
      <c r="N32" s="28" t="s">
        <v>155</v>
      </c>
      <c r="R32" s="102" t="s">
        <v>517</v>
      </c>
    </row>
    <row r="33" spans="12:18" x14ac:dyDescent="0.2">
      <c r="L33" s="28" t="s">
        <v>475</v>
      </c>
      <c r="N33" s="28" t="s">
        <v>156</v>
      </c>
      <c r="R33" s="102" t="s">
        <v>518</v>
      </c>
    </row>
    <row r="34" spans="12:18" x14ac:dyDescent="0.2">
      <c r="L34" s="28" t="s">
        <v>476</v>
      </c>
      <c r="N34" s="28" t="s">
        <v>157</v>
      </c>
      <c r="R34" s="102" t="s">
        <v>519</v>
      </c>
    </row>
    <row r="35" spans="12:18" ht="13.5" thickBot="1" x14ac:dyDescent="0.25">
      <c r="L35" s="25" t="s">
        <v>478</v>
      </c>
      <c r="N35" s="28" t="s">
        <v>158</v>
      </c>
      <c r="R35" s="102" t="s">
        <v>520</v>
      </c>
    </row>
    <row r="36" spans="12:18" x14ac:dyDescent="0.2">
      <c r="L36" t="s">
        <v>480</v>
      </c>
      <c r="N36" s="28" t="s">
        <v>159</v>
      </c>
      <c r="R36" s="102" t="s">
        <v>521</v>
      </c>
    </row>
    <row r="37" spans="12:18" x14ac:dyDescent="0.2">
      <c r="L37" t="s">
        <v>481</v>
      </c>
      <c r="N37" s="28" t="s">
        <v>160</v>
      </c>
      <c r="R37" s="102" t="s">
        <v>522</v>
      </c>
    </row>
    <row r="38" spans="12:18" x14ac:dyDescent="0.2">
      <c r="L38" t="s">
        <v>483</v>
      </c>
      <c r="N38" s="28" t="s">
        <v>161</v>
      </c>
      <c r="R38" s="102" t="s">
        <v>523</v>
      </c>
    </row>
    <row r="39" spans="12:18" x14ac:dyDescent="0.2">
      <c r="L39" t="s">
        <v>484</v>
      </c>
      <c r="N39" s="28" t="s">
        <v>162</v>
      </c>
      <c r="R39" s="102" t="s">
        <v>524</v>
      </c>
    </row>
    <row r="40" spans="12:18" x14ac:dyDescent="0.2">
      <c r="L40" t="s">
        <v>485</v>
      </c>
      <c r="N40" s="28" t="s">
        <v>163</v>
      </c>
      <c r="R40" s="102" t="s">
        <v>525</v>
      </c>
    </row>
    <row r="41" spans="12:18" x14ac:dyDescent="0.2">
      <c r="N41" s="28" t="s">
        <v>164</v>
      </c>
      <c r="R41" s="102" t="s">
        <v>526</v>
      </c>
    </row>
    <row r="42" spans="12:18" x14ac:dyDescent="0.2">
      <c r="N42" s="28" t="s">
        <v>165</v>
      </c>
      <c r="R42" s="102" t="s">
        <v>527</v>
      </c>
    </row>
    <row r="43" spans="12:18" x14ac:dyDescent="0.2">
      <c r="N43" s="28" t="s">
        <v>166</v>
      </c>
      <c r="R43" s="103" t="s">
        <v>528</v>
      </c>
    </row>
    <row r="44" spans="12:18" x14ac:dyDescent="0.2">
      <c r="N44" s="28" t="s">
        <v>167</v>
      </c>
      <c r="R44" s="102" t="s">
        <v>529</v>
      </c>
    </row>
    <row r="45" spans="12:18" x14ac:dyDescent="0.2">
      <c r="N45" s="28" t="s">
        <v>168</v>
      </c>
      <c r="R45" s="102" t="s">
        <v>530</v>
      </c>
    </row>
    <row r="46" spans="12:18" x14ac:dyDescent="0.2">
      <c r="N46" s="28" t="s">
        <v>169</v>
      </c>
      <c r="R46" s="102" t="s">
        <v>531</v>
      </c>
    </row>
    <row r="47" spans="12:18" x14ac:dyDescent="0.2">
      <c r="N47" s="28" t="s">
        <v>170</v>
      </c>
      <c r="R47" s="102" t="s">
        <v>532</v>
      </c>
    </row>
    <row r="48" spans="12:18" ht="13.5" thickBot="1" x14ac:dyDescent="0.25">
      <c r="N48" s="28" t="s">
        <v>171</v>
      </c>
      <c r="R48" s="104" t="s">
        <v>533</v>
      </c>
    </row>
    <row r="49" spans="14:14" x14ac:dyDescent="0.2">
      <c r="N49" s="28" t="s">
        <v>172</v>
      </c>
    </row>
    <row r="50" spans="14:14" x14ac:dyDescent="0.2">
      <c r="N50" s="28" t="s">
        <v>173</v>
      </c>
    </row>
    <row r="51" spans="14:14" x14ac:dyDescent="0.2">
      <c r="N51" s="28" t="s">
        <v>99</v>
      </c>
    </row>
    <row r="52" spans="14:14" x14ac:dyDescent="0.2">
      <c r="N52" s="28" t="s">
        <v>174</v>
      </c>
    </row>
    <row r="53" spans="14:14" x14ac:dyDescent="0.2">
      <c r="N53" s="28" t="s">
        <v>175</v>
      </c>
    </row>
    <row r="54" spans="14:14" x14ac:dyDescent="0.2">
      <c r="N54" s="28" t="s">
        <v>176</v>
      </c>
    </row>
    <row r="55" spans="14:14" x14ac:dyDescent="0.2">
      <c r="N55" s="28" t="s">
        <v>177</v>
      </c>
    </row>
    <row r="56" spans="14:14" x14ac:dyDescent="0.2">
      <c r="N56" s="28" t="s">
        <v>178</v>
      </c>
    </row>
    <row r="57" spans="14:14" x14ac:dyDescent="0.2">
      <c r="N57" s="28" t="s">
        <v>84</v>
      </c>
    </row>
    <row r="58" spans="14:14" x14ac:dyDescent="0.2">
      <c r="N58" s="28" t="s">
        <v>179</v>
      </c>
    </row>
    <row r="59" spans="14:14" x14ac:dyDescent="0.2">
      <c r="N59" s="28" t="s">
        <v>180</v>
      </c>
    </row>
    <row r="60" spans="14:14" x14ac:dyDescent="0.2">
      <c r="N60" s="28" t="s">
        <v>181</v>
      </c>
    </row>
    <row r="61" spans="14:14" x14ac:dyDescent="0.2">
      <c r="N61" s="28" t="s">
        <v>182</v>
      </c>
    </row>
    <row r="62" spans="14:14" x14ac:dyDescent="0.2">
      <c r="N62" s="28" t="s">
        <v>183</v>
      </c>
    </row>
    <row r="63" spans="14:14" x14ac:dyDescent="0.2">
      <c r="N63" s="28" t="s">
        <v>77</v>
      </c>
    </row>
    <row r="64" spans="14:14" x14ac:dyDescent="0.2">
      <c r="N64" s="28" t="s">
        <v>184</v>
      </c>
    </row>
    <row r="65" spans="14:14" x14ac:dyDescent="0.2">
      <c r="N65" s="28" t="s">
        <v>79</v>
      </c>
    </row>
    <row r="66" spans="14:14" x14ac:dyDescent="0.2">
      <c r="N66" s="28" t="s">
        <v>185</v>
      </c>
    </row>
    <row r="67" spans="14:14" x14ac:dyDescent="0.2">
      <c r="N67" s="28" t="s">
        <v>186</v>
      </c>
    </row>
    <row r="68" spans="14:14" x14ac:dyDescent="0.2">
      <c r="N68" s="28" t="s">
        <v>187</v>
      </c>
    </row>
    <row r="69" spans="14:14" x14ac:dyDescent="0.2">
      <c r="N69" s="28" t="s">
        <v>188</v>
      </c>
    </row>
    <row r="70" spans="14:14" x14ac:dyDescent="0.2">
      <c r="N70" s="28" t="s">
        <v>189</v>
      </c>
    </row>
    <row r="71" spans="14:14" x14ac:dyDescent="0.2">
      <c r="N71" s="28" t="s">
        <v>190</v>
      </c>
    </row>
    <row r="72" spans="14:14" x14ac:dyDescent="0.2">
      <c r="N72" s="28" t="s">
        <v>191</v>
      </c>
    </row>
    <row r="73" spans="14:14" x14ac:dyDescent="0.2">
      <c r="N73" s="28" t="s">
        <v>192</v>
      </c>
    </row>
    <row r="74" spans="14:14" x14ac:dyDescent="0.2">
      <c r="N74" s="28" t="s">
        <v>193</v>
      </c>
    </row>
    <row r="75" spans="14:14" x14ac:dyDescent="0.2">
      <c r="N75" s="28" t="s">
        <v>194</v>
      </c>
    </row>
    <row r="76" spans="14:14" x14ac:dyDescent="0.2">
      <c r="N76" s="28" t="s">
        <v>78</v>
      </c>
    </row>
    <row r="77" spans="14:14" x14ac:dyDescent="0.2">
      <c r="N77" s="28" t="s">
        <v>195</v>
      </c>
    </row>
    <row r="78" spans="14:14" x14ac:dyDescent="0.2">
      <c r="N78" s="28" t="s">
        <v>196</v>
      </c>
    </row>
    <row r="79" spans="14:14" x14ac:dyDescent="0.2">
      <c r="N79" s="28" t="s">
        <v>197</v>
      </c>
    </row>
    <row r="80" spans="14:14" x14ac:dyDescent="0.2">
      <c r="N80" s="28" t="s">
        <v>198</v>
      </c>
    </row>
    <row r="81" spans="14:14" x14ac:dyDescent="0.2">
      <c r="N81" s="28" t="s">
        <v>199</v>
      </c>
    </row>
    <row r="82" spans="14:14" x14ac:dyDescent="0.2">
      <c r="N82" s="28" t="s">
        <v>200</v>
      </c>
    </row>
    <row r="83" spans="14:14" x14ac:dyDescent="0.2">
      <c r="N83" s="28" t="s">
        <v>201</v>
      </c>
    </row>
    <row r="84" spans="14:14" x14ac:dyDescent="0.2">
      <c r="N84" s="28" t="s">
        <v>105</v>
      </c>
    </row>
    <row r="85" spans="14:14" x14ac:dyDescent="0.2">
      <c r="N85" s="28" t="s">
        <v>202</v>
      </c>
    </row>
    <row r="86" spans="14:14" x14ac:dyDescent="0.2">
      <c r="N86" s="28" t="s">
        <v>203</v>
      </c>
    </row>
    <row r="87" spans="14:14" x14ac:dyDescent="0.2">
      <c r="N87" s="28" t="s">
        <v>204</v>
      </c>
    </row>
    <row r="88" spans="14:14" x14ac:dyDescent="0.2">
      <c r="N88" s="28" t="s">
        <v>205</v>
      </c>
    </row>
    <row r="89" spans="14:14" x14ac:dyDescent="0.2">
      <c r="N89" s="28" t="s">
        <v>206</v>
      </c>
    </row>
    <row r="90" spans="14:14" x14ac:dyDescent="0.2">
      <c r="N90" s="28" t="s">
        <v>207</v>
      </c>
    </row>
    <row r="91" spans="14:14" x14ac:dyDescent="0.2">
      <c r="N91" s="28" t="s">
        <v>208</v>
      </c>
    </row>
    <row r="92" spans="14:14" x14ac:dyDescent="0.2">
      <c r="N92" s="28" t="s">
        <v>209</v>
      </c>
    </row>
    <row r="93" spans="14:14" x14ac:dyDescent="0.2">
      <c r="N93" s="28" t="s">
        <v>210</v>
      </c>
    </row>
    <row r="94" spans="14:14" x14ac:dyDescent="0.2">
      <c r="N94" s="28" t="s">
        <v>211</v>
      </c>
    </row>
    <row r="95" spans="14:14" x14ac:dyDescent="0.2">
      <c r="N95" s="28" t="s">
        <v>212</v>
      </c>
    </row>
    <row r="96" spans="14:14" x14ac:dyDescent="0.2">
      <c r="N96" s="28" t="s">
        <v>213</v>
      </c>
    </row>
    <row r="97" spans="14:14" x14ac:dyDescent="0.2">
      <c r="N97" s="28" t="s">
        <v>96</v>
      </c>
    </row>
    <row r="98" spans="14:14" x14ac:dyDescent="0.2">
      <c r="N98" s="28" t="s">
        <v>214</v>
      </c>
    </row>
    <row r="99" spans="14:14" x14ac:dyDescent="0.2">
      <c r="N99" s="28" t="s">
        <v>83</v>
      </c>
    </row>
    <row r="100" spans="14:14" x14ac:dyDescent="0.2">
      <c r="N100" s="28" t="s">
        <v>215</v>
      </c>
    </row>
    <row r="101" spans="14:14" x14ac:dyDescent="0.2">
      <c r="N101" s="28" t="s">
        <v>216</v>
      </c>
    </row>
    <row r="102" spans="14:14" x14ac:dyDescent="0.2">
      <c r="N102" s="28" t="s">
        <v>217</v>
      </c>
    </row>
    <row r="103" spans="14:14" x14ac:dyDescent="0.2">
      <c r="N103" s="28" t="s">
        <v>218</v>
      </c>
    </row>
    <row r="104" spans="14:14" x14ac:dyDescent="0.2">
      <c r="N104" s="28" t="s">
        <v>219</v>
      </c>
    </row>
    <row r="105" spans="14:14" x14ac:dyDescent="0.2">
      <c r="N105" s="28" t="s">
        <v>220</v>
      </c>
    </row>
    <row r="106" spans="14:14" x14ac:dyDescent="0.2">
      <c r="N106" s="28" t="s">
        <v>221</v>
      </c>
    </row>
    <row r="107" spans="14:14" x14ac:dyDescent="0.2">
      <c r="N107" s="28" t="s">
        <v>222</v>
      </c>
    </row>
    <row r="108" spans="14:14" x14ac:dyDescent="0.2">
      <c r="N108" s="28" t="s">
        <v>100</v>
      </c>
    </row>
    <row r="109" spans="14:14" x14ac:dyDescent="0.2">
      <c r="N109" s="28" t="s">
        <v>223</v>
      </c>
    </row>
    <row r="110" spans="14:14" x14ac:dyDescent="0.2">
      <c r="N110" s="28" t="s">
        <v>224</v>
      </c>
    </row>
    <row r="111" spans="14:14" x14ac:dyDescent="0.2">
      <c r="N111" s="28" t="s">
        <v>225</v>
      </c>
    </row>
    <row r="112" spans="14:14" x14ac:dyDescent="0.2">
      <c r="N112" s="28" t="s">
        <v>226</v>
      </c>
    </row>
    <row r="113" spans="14:14" x14ac:dyDescent="0.2">
      <c r="N113" s="28" t="s">
        <v>227</v>
      </c>
    </row>
    <row r="114" spans="14:14" x14ac:dyDescent="0.2">
      <c r="N114" s="28" t="s">
        <v>228</v>
      </c>
    </row>
    <row r="115" spans="14:14" x14ac:dyDescent="0.2">
      <c r="N115" s="28" t="s">
        <v>229</v>
      </c>
    </row>
    <row r="116" spans="14:14" x14ac:dyDescent="0.2">
      <c r="N116" s="28" t="s">
        <v>230</v>
      </c>
    </row>
    <row r="117" spans="14:14" x14ac:dyDescent="0.2">
      <c r="N117" s="28" t="s">
        <v>101</v>
      </c>
    </row>
    <row r="118" spans="14:14" x14ac:dyDescent="0.2">
      <c r="N118" s="28" t="s">
        <v>231</v>
      </c>
    </row>
    <row r="119" spans="14:14" x14ac:dyDescent="0.2">
      <c r="N119" s="28" t="s">
        <v>232</v>
      </c>
    </row>
    <row r="120" spans="14:14" x14ac:dyDescent="0.2">
      <c r="N120" s="28" t="s">
        <v>233</v>
      </c>
    </row>
    <row r="121" spans="14:14" x14ac:dyDescent="0.2">
      <c r="N121" s="28" t="s">
        <v>234</v>
      </c>
    </row>
    <row r="122" spans="14:14" x14ac:dyDescent="0.2">
      <c r="N122" s="28" t="s">
        <v>235</v>
      </c>
    </row>
    <row r="123" spans="14:14" x14ac:dyDescent="0.2">
      <c r="N123" s="28" t="s">
        <v>236</v>
      </c>
    </row>
    <row r="124" spans="14:14" x14ac:dyDescent="0.2">
      <c r="N124" s="28" t="s">
        <v>237</v>
      </c>
    </row>
    <row r="125" spans="14:14" x14ac:dyDescent="0.2">
      <c r="N125" s="28" t="s">
        <v>238</v>
      </c>
    </row>
    <row r="126" spans="14:14" x14ac:dyDescent="0.2">
      <c r="N126" s="28" t="s">
        <v>239</v>
      </c>
    </row>
    <row r="127" spans="14:14" x14ac:dyDescent="0.2">
      <c r="N127" s="28" t="s">
        <v>240</v>
      </c>
    </row>
    <row r="128" spans="14:14" x14ac:dyDescent="0.2">
      <c r="N128" s="28" t="s">
        <v>102</v>
      </c>
    </row>
    <row r="129" spans="14:14" x14ac:dyDescent="0.2">
      <c r="N129" s="28" t="s">
        <v>241</v>
      </c>
    </row>
    <row r="130" spans="14:14" x14ac:dyDescent="0.2">
      <c r="N130" s="28" t="s">
        <v>242</v>
      </c>
    </row>
    <row r="131" spans="14:14" x14ac:dyDescent="0.2">
      <c r="N131" s="28" t="s">
        <v>243</v>
      </c>
    </row>
    <row r="132" spans="14:14" x14ac:dyDescent="0.2">
      <c r="N132" s="28" t="s">
        <v>244</v>
      </c>
    </row>
    <row r="133" spans="14:14" x14ac:dyDescent="0.2">
      <c r="N133" s="28" t="s">
        <v>103</v>
      </c>
    </row>
    <row r="134" spans="14:14" x14ac:dyDescent="0.2">
      <c r="N134" s="28" t="s">
        <v>81</v>
      </c>
    </row>
    <row r="135" spans="14:14" x14ac:dyDescent="0.2">
      <c r="N135" s="28" t="s">
        <v>245</v>
      </c>
    </row>
    <row r="136" spans="14:14" x14ac:dyDescent="0.2">
      <c r="N136" s="28" t="s">
        <v>246</v>
      </c>
    </row>
    <row r="137" spans="14:14" x14ac:dyDescent="0.2">
      <c r="N137" s="28" t="s">
        <v>247</v>
      </c>
    </row>
    <row r="138" spans="14:14" x14ac:dyDescent="0.2">
      <c r="N138" s="28" t="s">
        <v>248</v>
      </c>
    </row>
    <row r="139" spans="14:14" x14ac:dyDescent="0.2">
      <c r="N139" s="28" t="s">
        <v>249</v>
      </c>
    </row>
    <row r="140" spans="14:14" x14ac:dyDescent="0.2">
      <c r="N140" s="28" t="s">
        <v>250</v>
      </c>
    </row>
    <row r="141" spans="14:14" x14ac:dyDescent="0.2">
      <c r="N141" s="28" t="s">
        <v>251</v>
      </c>
    </row>
    <row r="142" spans="14:14" x14ac:dyDescent="0.2">
      <c r="N142" s="28" t="s">
        <v>252</v>
      </c>
    </row>
    <row r="143" spans="14:14" x14ac:dyDescent="0.2">
      <c r="N143" s="28" t="s">
        <v>253</v>
      </c>
    </row>
    <row r="144" spans="14:14" x14ac:dyDescent="0.2">
      <c r="N144" s="28" t="s">
        <v>254</v>
      </c>
    </row>
    <row r="145" spans="14:14" x14ac:dyDescent="0.2">
      <c r="N145" s="28" t="s">
        <v>255</v>
      </c>
    </row>
    <row r="146" spans="14:14" x14ac:dyDescent="0.2">
      <c r="N146" s="28" t="s">
        <v>256</v>
      </c>
    </row>
    <row r="147" spans="14:14" x14ac:dyDescent="0.2">
      <c r="N147" s="28" t="s">
        <v>257</v>
      </c>
    </row>
    <row r="148" spans="14:14" x14ac:dyDescent="0.2">
      <c r="N148" s="28" t="s">
        <v>258</v>
      </c>
    </row>
    <row r="149" spans="14:14" x14ac:dyDescent="0.2">
      <c r="N149" s="28" t="s">
        <v>259</v>
      </c>
    </row>
    <row r="150" spans="14:14" x14ac:dyDescent="0.2">
      <c r="N150" s="28" t="s">
        <v>260</v>
      </c>
    </row>
    <row r="151" spans="14:14" x14ac:dyDescent="0.2">
      <c r="N151" s="28" t="s">
        <v>261</v>
      </c>
    </row>
    <row r="152" spans="14:14" x14ac:dyDescent="0.2">
      <c r="N152" s="28" t="s">
        <v>262</v>
      </c>
    </row>
    <row r="153" spans="14:14" x14ac:dyDescent="0.2">
      <c r="N153" s="28" t="s">
        <v>263</v>
      </c>
    </row>
    <row r="154" spans="14:14" x14ac:dyDescent="0.2">
      <c r="N154" s="28" t="s">
        <v>264</v>
      </c>
    </row>
    <row r="155" spans="14:14" x14ac:dyDescent="0.2">
      <c r="N155" s="28" t="s">
        <v>265</v>
      </c>
    </row>
    <row r="156" spans="14:14" x14ac:dyDescent="0.2">
      <c r="N156" s="28" t="s">
        <v>266</v>
      </c>
    </row>
    <row r="157" spans="14:14" x14ac:dyDescent="0.2">
      <c r="N157" s="28" t="s">
        <v>267</v>
      </c>
    </row>
    <row r="158" spans="14:14" x14ac:dyDescent="0.2">
      <c r="N158" s="28" t="s">
        <v>268</v>
      </c>
    </row>
    <row r="159" spans="14:14" x14ac:dyDescent="0.2">
      <c r="N159" s="28" t="s">
        <v>269</v>
      </c>
    </row>
    <row r="160" spans="14:14" x14ac:dyDescent="0.2">
      <c r="N160" s="28" t="s">
        <v>270</v>
      </c>
    </row>
    <row r="161" spans="14:14" x14ac:dyDescent="0.2">
      <c r="N161" s="28" t="s">
        <v>271</v>
      </c>
    </row>
    <row r="162" spans="14:14" x14ac:dyDescent="0.2">
      <c r="N162" s="28" t="s">
        <v>272</v>
      </c>
    </row>
    <row r="163" spans="14:14" x14ac:dyDescent="0.2">
      <c r="N163" s="28" t="s">
        <v>273</v>
      </c>
    </row>
    <row r="164" spans="14:14" x14ac:dyDescent="0.2">
      <c r="N164" s="28" t="s">
        <v>274</v>
      </c>
    </row>
    <row r="165" spans="14:14" x14ac:dyDescent="0.2">
      <c r="N165" s="28" t="s">
        <v>275</v>
      </c>
    </row>
    <row r="166" spans="14:14" x14ac:dyDescent="0.2">
      <c r="N166" s="28" t="s">
        <v>276</v>
      </c>
    </row>
    <row r="167" spans="14:14" x14ac:dyDescent="0.2">
      <c r="N167" s="28" t="s">
        <v>277</v>
      </c>
    </row>
    <row r="168" spans="14:14" x14ac:dyDescent="0.2">
      <c r="N168" s="28" t="s">
        <v>278</v>
      </c>
    </row>
    <row r="169" spans="14:14" x14ac:dyDescent="0.2">
      <c r="N169" s="28" t="s">
        <v>279</v>
      </c>
    </row>
    <row r="170" spans="14:14" x14ac:dyDescent="0.2">
      <c r="N170" s="28" t="s">
        <v>280</v>
      </c>
    </row>
    <row r="171" spans="14:14" x14ac:dyDescent="0.2">
      <c r="N171" s="28" t="s">
        <v>281</v>
      </c>
    </row>
    <row r="172" spans="14:14" x14ac:dyDescent="0.2">
      <c r="N172" s="28" t="s">
        <v>282</v>
      </c>
    </row>
    <row r="173" spans="14:14" x14ac:dyDescent="0.2">
      <c r="N173" s="28" t="s">
        <v>283</v>
      </c>
    </row>
    <row r="174" spans="14:14" x14ac:dyDescent="0.2">
      <c r="N174" s="28" t="s">
        <v>284</v>
      </c>
    </row>
    <row r="175" spans="14:14" x14ac:dyDescent="0.2">
      <c r="N175" s="28" t="s">
        <v>285</v>
      </c>
    </row>
    <row r="176" spans="14:14" x14ac:dyDescent="0.2">
      <c r="N176" s="28" t="s">
        <v>286</v>
      </c>
    </row>
    <row r="177" spans="14:14" x14ac:dyDescent="0.2">
      <c r="N177" s="28" t="s">
        <v>287</v>
      </c>
    </row>
    <row r="178" spans="14:14" x14ac:dyDescent="0.2">
      <c r="N178" s="28" t="s">
        <v>288</v>
      </c>
    </row>
    <row r="179" spans="14:14" x14ac:dyDescent="0.2">
      <c r="N179" s="28" t="s">
        <v>289</v>
      </c>
    </row>
    <row r="180" spans="14:14" x14ac:dyDescent="0.2">
      <c r="N180" s="28" t="s">
        <v>290</v>
      </c>
    </row>
    <row r="181" spans="14:14" x14ac:dyDescent="0.2">
      <c r="N181" s="28" t="s">
        <v>291</v>
      </c>
    </row>
    <row r="182" spans="14:14" x14ac:dyDescent="0.2">
      <c r="N182" s="28" t="s">
        <v>292</v>
      </c>
    </row>
    <row r="183" spans="14:14" x14ac:dyDescent="0.2">
      <c r="N183" s="28" t="s">
        <v>293</v>
      </c>
    </row>
    <row r="184" spans="14:14" x14ac:dyDescent="0.2">
      <c r="N184" s="28" t="s">
        <v>294</v>
      </c>
    </row>
    <row r="185" spans="14:14" x14ac:dyDescent="0.2">
      <c r="N185" s="28" t="s">
        <v>295</v>
      </c>
    </row>
    <row r="186" spans="14:14" x14ac:dyDescent="0.2">
      <c r="N186" s="28" t="s">
        <v>296</v>
      </c>
    </row>
    <row r="187" spans="14:14" x14ac:dyDescent="0.2">
      <c r="N187" s="28" t="s">
        <v>297</v>
      </c>
    </row>
    <row r="188" spans="14:14" x14ac:dyDescent="0.2">
      <c r="N188" s="28" t="s">
        <v>298</v>
      </c>
    </row>
    <row r="189" spans="14:14" x14ac:dyDescent="0.2">
      <c r="N189" s="28" t="s">
        <v>299</v>
      </c>
    </row>
    <row r="190" spans="14:14" x14ac:dyDescent="0.2">
      <c r="N190" s="28" t="s">
        <v>300</v>
      </c>
    </row>
    <row r="191" spans="14:14" x14ac:dyDescent="0.2">
      <c r="N191" s="28" t="s">
        <v>301</v>
      </c>
    </row>
    <row r="192" spans="14:14" x14ac:dyDescent="0.2">
      <c r="N192" s="28" t="s">
        <v>302</v>
      </c>
    </row>
    <row r="193" spans="14:14" x14ac:dyDescent="0.2">
      <c r="N193" s="28" t="s">
        <v>303</v>
      </c>
    </row>
    <row r="194" spans="14:14" x14ac:dyDescent="0.2">
      <c r="N194" s="28" t="s">
        <v>304</v>
      </c>
    </row>
    <row r="195" spans="14:14" x14ac:dyDescent="0.2">
      <c r="N195" s="28" t="s">
        <v>305</v>
      </c>
    </row>
    <row r="196" spans="14:14" x14ac:dyDescent="0.2">
      <c r="N196" s="28" t="s">
        <v>306</v>
      </c>
    </row>
    <row r="197" spans="14:14" x14ac:dyDescent="0.2">
      <c r="N197" s="28" t="s">
        <v>307</v>
      </c>
    </row>
    <row r="198" spans="14:14" x14ac:dyDescent="0.2">
      <c r="N198" s="28" t="s">
        <v>308</v>
      </c>
    </row>
    <row r="199" spans="14:14" x14ac:dyDescent="0.2">
      <c r="N199" s="28" t="s">
        <v>309</v>
      </c>
    </row>
    <row r="200" spans="14:14" x14ac:dyDescent="0.2">
      <c r="N200" s="28" t="s">
        <v>310</v>
      </c>
    </row>
    <row r="201" spans="14:14" x14ac:dyDescent="0.2">
      <c r="N201" s="28" t="s">
        <v>311</v>
      </c>
    </row>
    <row r="202" spans="14:14" x14ac:dyDescent="0.2">
      <c r="N202" s="28" t="s">
        <v>312</v>
      </c>
    </row>
    <row r="203" spans="14:14" x14ac:dyDescent="0.2">
      <c r="N203" s="28" t="s">
        <v>313</v>
      </c>
    </row>
    <row r="204" spans="14:14" x14ac:dyDescent="0.2">
      <c r="N204" s="28" t="s">
        <v>314</v>
      </c>
    </row>
    <row r="205" spans="14:14" x14ac:dyDescent="0.2">
      <c r="N205" s="28" t="s">
        <v>315</v>
      </c>
    </row>
    <row r="206" spans="14:14" x14ac:dyDescent="0.2">
      <c r="N206" s="28" t="s">
        <v>316</v>
      </c>
    </row>
    <row r="207" spans="14:14" x14ac:dyDescent="0.2">
      <c r="N207" s="28" t="s">
        <v>317</v>
      </c>
    </row>
    <row r="208" spans="14:14" x14ac:dyDescent="0.2">
      <c r="N208" s="28" t="s">
        <v>318</v>
      </c>
    </row>
    <row r="209" spans="12:14" x14ac:dyDescent="0.2">
      <c r="N209" s="28" t="s">
        <v>319</v>
      </c>
    </row>
    <row r="210" spans="12:14" x14ac:dyDescent="0.2">
      <c r="N210" s="28" t="s">
        <v>320</v>
      </c>
    </row>
    <row r="211" spans="12:14" x14ac:dyDescent="0.2">
      <c r="N211" s="28" t="s">
        <v>321</v>
      </c>
    </row>
    <row r="212" spans="12:14" x14ac:dyDescent="0.2">
      <c r="N212" s="28" t="s">
        <v>104</v>
      </c>
    </row>
    <row r="213" spans="12:14" x14ac:dyDescent="0.2">
      <c r="N213" s="28" t="s">
        <v>82</v>
      </c>
    </row>
    <row r="214" spans="12:14" x14ac:dyDescent="0.2">
      <c r="L214" s="9"/>
      <c r="N214" s="28" t="s">
        <v>322</v>
      </c>
    </row>
    <row r="215" spans="12:14" x14ac:dyDescent="0.2">
      <c r="N215" s="28" t="s">
        <v>323</v>
      </c>
    </row>
    <row r="216" spans="12:14" x14ac:dyDescent="0.2">
      <c r="N216" s="28" t="s">
        <v>324</v>
      </c>
    </row>
    <row r="217" spans="12:14" x14ac:dyDescent="0.2">
      <c r="N217" s="28" t="s">
        <v>325</v>
      </c>
    </row>
    <row r="218" spans="12:14" x14ac:dyDescent="0.2">
      <c r="N218" s="28" t="s">
        <v>326</v>
      </c>
    </row>
    <row r="219" spans="12:14" x14ac:dyDescent="0.2">
      <c r="N219" s="28" t="s">
        <v>327</v>
      </c>
    </row>
    <row r="220" spans="12:14" x14ac:dyDescent="0.2">
      <c r="N220" s="28" t="s">
        <v>328</v>
      </c>
    </row>
    <row r="221" spans="12:14" x14ac:dyDescent="0.2">
      <c r="N221" s="28" t="s">
        <v>329</v>
      </c>
    </row>
    <row r="222" spans="12:14" x14ac:dyDescent="0.2">
      <c r="N222" s="28" t="s">
        <v>330</v>
      </c>
    </row>
    <row r="223" spans="12:14" x14ac:dyDescent="0.2">
      <c r="N223" s="28" t="s">
        <v>331</v>
      </c>
    </row>
    <row r="224" spans="12:14" x14ac:dyDescent="0.2">
      <c r="N224" s="28" t="s">
        <v>332</v>
      </c>
    </row>
    <row r="225" spans="14:14" x14ac:dyDescent="0.2">
      <c r="N225" s="28" t="s">
        <v>333</v>
      </c>
    </row>
    <row r="226" spans="14:14" x14ac:dyDescent="0.2">
      <c r="N226" s="28" t="s">
        <v>334</v>
      </c>
    </row>
    <row r="227" spans="14:14" x14ac:dyDescent="0.2">
      <c r="N227" s="28" t="s">
        <v>335</v>
      </c>
    </row>
    <row r="228" spans="14:14" x14ac:dyDescent="0.2">
      <c r="N228" s="28" t="s">
        <v>336</v>
      </c>
    </row>
    <row r="229" spans="14:14" x14ac:dyDescent="0.2">
      <c r="N229" s="28" t="s">
        <v>337</v>
      </c>
    </row>
    <row r="230" spans="14:14" x14ac:dyDescent="0.2">
      <c r="N230" s="28" t="s">
        <v>338</v>
      </c>
    </row>
    <row r="231" spans="14:14" x14ac:dyDescent="0.2">
      <c r="N231" s="28" t="s">
        <v>339</v>
      </c>
    </row>
    <row r="232" spans="14:14" x14ac:dyDescent="0.2">
      <c r="N232" s="28" t="s">
        <v>340</v>
      </c>
    </row>
    <row r="233" spans="14:14" x14ac:dyDescent="0.2">
      <c r="N233" s="28" t="s">
        <v>341</v>
      </c>
    </row>
    <row r="234" spans="14:14" x14ac:dyDescent="0.2">
      <c r="N234" s="28" t="s">
        <v>342</v>
      </c>
    </row>
    <row r="235" spans="14:14" x14ac:dyDescent="0.2">
      <c r="N235" s="28" t="s">
        <v>343</v>
      </c>
    </row>
    <row r="236" spans="14:14" x14ac:dyDescent="0.2">
      <c r="N236" s="28" t="s">
        <v>76</v>
      </c>
    </row>
    <row r="237" spans="14:14" x14ac:dyDescent="0.2">
      <c r="N237" s="28" t="s">
        <v>344</v>
      </c>
    </row>
    <row r="238" spans="14:14" x14ac:dyDescent="0.2">
      <c r="N238" s="28" t="s">
        <v>345</v>
      </c>
    </row>
    <row r="239" spans="14:14" x14ac:dyDescent="0.2">
      <c r="N239" s="28" t="s">
        <v>346</v>
      </c>
    </row>
    <row r="240" spans="14:14" x14ac:dyDescent="0.2">
      <c r="N240" s="28" t="s">
        <v>347</v>
      </c>
    </row>
    <row r="241" spans="14:14" x14ac:dyDescent="0.2">
      <c r="N241" s="28" t="s">
        <v>348</v>
      </c>
    </row>
    <row r="242" spans="14:14" x14ac:dyDescent="0.2">
      <c r="N242" s="28" t="s">
        <v>349</v>
      </c>
    </row>
    <row r="243" spans="14:14" x14ac:dyDescent="0.2">
      <c r="N243" s="28" t="s">
        <v>350</v>
      </c>
    </row>
    <row r="244" spans="14:14" x14ac:dyDescent="0.2">
      <c r="N244" s="28" t="s">
        <v>351</v>
      </c>
    </row>
    <row r="245" spans="14:14" x14ac:dyDescent="0.2">
      <c r="N245" s="28" t="s">
        <v>352</v>
      </c>
    </row>
    <row r="246" spans="14:14" x14ac:dyDescent="0.2">
      <c r="N246" s="28" t="s">
        <v>353</v>
      </c>
    </row>
    <row r="247" spans="14:14" x14ac:dyDescent="0.2">
      <c r="N247" s="28" t="s">
        <v>354</v>
      </c>
    </row>
    <row r="248" spans="14:14" x14ac:dyDescent="0.2">
      <c r="N248" s="28" t="s">
        <v>355</v>
      </c>
    </row>
    <row r="249" spans="14:14" x14ac:dyDescent="0.2">
      <c r="N249" s="28" t="s">
        <v>356</v>
      </c>
    </row>
    <row r="250" spans="14:14" x14ac:dyDescent="0.2">
      <c r="N250" s="28" t="s">
        <v>357</v>
      </c>
    </row>
    <row r="251" spans="14:14" x14ac:dyDescent="0.2">
      <c r="N251" s="28" t="s">
        <v>358</v>
      </c>
    </row>
    <row r="252" spans="14:14" x14ac:dyDescent="0.2">
      <c r="N252" s="28" t="s">
        <v>359</v>
      </c>
    </row>
    <row r="253" spans="14:14" x14ac:dyDescent="0.2">
      <c r="N253" s="28" t="s">
        <v>360</v>
      </c>
    </row>
    <row r="254" spans="14:14" x14ac:dyDescent="0.2">
      <c r="N254" s="28" t="s">
        <v>361</v>
      </c>
    </row>
    <row r="255" spans="14:14" x14ac:dyDescent="0.2">
      <c r="N255" s="28" t="s">
        <v>362</v>
      </c>
    </row>
    <row r="256" spans="14:14" x14ac:dyDescent="0.2">
      <c r="N256" s="28" t="s">
        <v>363</v>
      </c>
    </row>
    <row r="257" spans="14:14" x14ac:dyDescent="0.2">
      <c r="N257" s="28" t="s">
        <v>364</v>
      </c>
    </row>
    <row r="258" spans="14:14" x14ac:dyDescent="0.2">
      <c r="N258" s="28" t="s">
        <v>365</v>
      </c>
    </row>
    <row r="259" spans="14:14" x14ac:dyDescent="0.2">
      <c r="N259" s="28" t="s">
        <v>366</v>
      </c>
    </row>
    <row r="260" spans="14:14" x14ac:dyDescent="0.2">
      <c r="N260" s="28" t="s">
        <v>367</v>
      </c>
    </row>
    <row r="261" spans="14:14" x14ac:dyDescent="0.2">
      <c r="N261" s="28" t="s">
        <v>368</v>
      </c>
    </row>
    <row r="262" spans="14:14" x14ac:dyDescent="0.2">
      <c r="N262" s="28" t="s">
        <v>369</v>
      </c>
    </row>
    <row r="263" spans="14:14" x14ac:dyDescent="0.2">
      <c r="N263" s="28" t="s">
        <v>370</v>
      </c>
    </row>
    <row r="264" spans="14:14" x14ac:dyDescent="0.2">
      <c r="N264" s="28" t="s">
        <v>371</v>
      </c>
    </row>
    <row r="265" spans="14:14" x14ac:dyDescent="0.2">
      <c r="N265" s="28" t="s">
        <v>372</v>
      </c>
    </row>
    <row r="266" spans="14:14" x14ac:dyDescent="0.2">
      <c r="N266" s="28" t="s">
        <v>373</v>
      </c>
    </row>
    <row r="267" spans="14:14" x14ac:dyDescent="0.2">
      <c r="N267" s="28" t="s">
        <v>374</v>
      </c>
    </row>
    <row r="268" spans="14:14" x14ac:dyDescent="0.2">
      <c r="N268" s="28" t="s">
        <v>375</v>
      </c>
    </row>
    <row r="269" spans="14:14" x14ac:dyDescent="0.2">
      <c r="N269" s="28" t="s">
        <v>376</v>
      </c>
    </row>
    <row r="270" spans="14:14" x14ac:dyDescent="0.2">
      <c r="N270" s="28" t="s">
        <v>377</v>
      </c>
    </row>
    <row r="271" spans="14:14" x14ac:dyDescent="0.2">
      <c r="N271" s="28" t="s">
        <v>378</v>
      </c>
    </row>
    <row r="272" spans="14:14" x14ac:dyDescent="0.2">
      <c r="N272" s="28" t="s">
        <v>379</v>
      </c>
    </row>
    <row r="273" spans="14:14" x14ac:dyDescent="0.2">
      <c r="N273" s="28" t="s">
        <v>380</v>
      </c>
    </row>
    <row r="274" spans="14:14" x14ac:dyDescent="0.2">
      <c r="N274" s="28" t="s">
        <v>381</v>
      </c>
    </row>
    <row r="275" spans="14:14" x14ac:dyDescent="0.2">
      <c r="N275" s="28" t="s">
        <v>382</v>
      </c>
    </row>
    <row r="276" spans="14:14" x14ac:dyDescent="0.2">
      <c r="N276" s="28" t="s">
        <v>383</v>
      </c>
    </row>
    <row r="277" spans="14:14" x14ac:dyDescent="0.2">
      <c r="N277" s="28" t="s">
        <v>384</v>
      </c>
    </row>
    <row r="278" spans="14:14" x14ac:dyDescent="0.2">
      <c r="N278" s="28" t="s">
        <v>385</v>
      </c>
    </row>
    <row r="279" spans="14:14" x14ac:dyDescent="0.2">
      <c r="N279" s="28" t="s">
        <v>386</v>
      </c>
    </row>
    <row r="280" spans="14:14" x14ac:dyDescent="0.2">
      <c r="N280" s="28" t="s">
        <v>387</v>
      </c>
    </row>
    <row r="281" spans="14:14" x14ac:dyDescent="0.2">
      <c r="N281" s="28" t="s">
        <v>388</v>
      </c>
    </row>
    <row r="282" spans="14:14" x14ac:dyDescent="0.2">
      <c r="N282" s="28" t="s">
        <v>389</v>
      </c>
    </row>
    <row r="283" spans="14:14" x14ac:dyDescent="0.2">
      <c r="N283" s="28" t="s">
        <v>390</v>
      </c>
    </row>
    <row r="284" spans="14:14" x14ac:dyDescent="0.2">
      <c r="N284" s="28" t="s">
        <v>391</v>
      </c>
    </row>
    <row r="285" spans="14:14" x14ac:dyDescent="0.2">
      <c r="N285" s="28" t="s">
        <v>392</v>
      </c>
    </row>
    <row r="286" spans="14:14" x14ac:dyDescent="0.2">
      <c r="N286" s="28" t="s">
        <v>393</v>
      </c>
    </row>
    <row r="287" spans="14:14" x14ac:dyDescent="0.2">
      <c r="N287" s="28" t="s">
        <v>394</v>
      </c>
    </row>
    <row r="288" spans="14:14" x14ac:dyDescent="0.2">
      <c r="N288" s="28" t="s">
        <v>395</v>
      </c>
    </row>
    <row r="289" spans="14:14" x14ac:dyDescent="0.2">
      <c r="N289" s="28" t="s">
        <v>396</v>
      </c>
    </row>
    <row r="290" spans="14:14" x14ac:dyDescent="0.2">
      <c r="N290" s="28" t="s">
        <v>397</v>
      </c>
    </row>
    <row r="291" spans="14:14" x14ac:dyDescent="0.2">
      <c r="N291" s="28" t="s">
        <v>398</v>
      </c>
    </row>
    <row r="292" spans="14:14" x14ac:dyDescent="0.2">
      <c r="N292" s="28" t="s">
        <v>399</v>
      </c>
    </row>
    <row r="293" spans="14:14" x14ac:dyDescent="0.2">
      <c r="N293" s="28" t="s">
        <v>400</v>
      </c>
    </row>
    <row r="294" spans="14:14" x14ac:dyDescent="0.2">
      <c r="N294" s="28" t="s">
        <v>401</v>
      </c>
    </row>
    <row r="295" spans="14:14" x14ac:dyDescent="0.2">
      <c r="N295" s="28" t="s">
        <v>402</v>
      </c>
    </row>
    <row r="296" spans="14:14" x14ac:dyDescent="0.2">
      <c r="N296" s="28" t="s">
        <v>403</v>
      </c>
    </row>
    <row r="297" spans="14:14" x14ac:dyDescent="0.2">
      <c r="N297" s="28" t="s">
        <v>404</v>
      </c>
    </row>
    <row r="298" spans="14:14" x14ac:dyDescent="0.2">
      <c r="N298" s="28" t="s">
        <v>405</v>
      </c>
    </row>
    <row r="299" spans="14:14" x14ac:dyDescent="0.2">
      <c r="N299" s="28" t="s">
        <v>406</v>
      </c>
    </row>
    <row r="300" spans="14:14" x14ac:dyDescent="0.2">
      <c r="N300" s="28" t="s">
        <v>407</v>
      </c>
    </row>
    <row r="301" spans="14:14" x14ac:dyDescent="0.2">
      <c r="N301" s="28" t="s">
        <v>408</v>
      </c>
    </row>
    <row r="302" spans="14:14" x14ac:dyDescent="0.2">
      <c r="N302" s="28" t="s">
        <v>409</v>
      </c>
    </row>
    <row r="303" spans="14:14" x14ac:dyDescent="0.2">
      <c r="N303" s="28" t="s">
        <v>410</v>
      </c>
    </row>
    <row r="304" spans="14:14" x14ac:dyDescent="0.2">
      <c r="N304" s="28" t="s">
        <v>411</v>
      </c>
    </row>
    <row r="305" spans="14:14" x14ac:dyDescent="0.2">
      <c r="N305" s="28" t="s">
        <v>412</v>
      </c>
    </row>
    <row r="306" spans="14:14" x14ac:dyDescent="0.2">
      <c r="N306" s="28" t="s">
        <v>413</v>
      </c>
    </row>
    <row r="307" spans="14:14" x14ac:dyDescent="0.2">
      <c r="N307" s="28" t="s">
        <v>414</v>
      </c>
    </row>
    <row r="308" spans="14:14" x14ac:dyDescent="0.2">
      <c r="N308" s="28" t="s">
        <v>415</v>
      </c>
    </row>
    <row r="309" spans="14:14" x14ac:dyDescent="0.2">
      <c r="N309" s="28" t="s">
        <v>416</v>
      </c>
    </row>
    <row r="310" spans="14:14" x14ac:dyDescent="0.2">
      <c r="N310" s="28" t="s">
        <v>417</v>
      </c>
    </row>
    <row r="311" spans="14:14" x14ac:dyDescent="0.2">
      <c r="N311" s="28" t="s">
        <v>418</v>
      </c>
    </row>
    <row r="312" spans="14:14" x14ac:dyDescent="0.2">
      <c r="N312" s="28" t="s">
        <v>419</v>
      </c>
    </row>
    <row r="313" spans="14:14" x14ac:dyDescent="0.2">
      <c r="N313" s="28" t="s">
        <v>420</v>
      </c>
    </row>
    <row r="314" spans="14:14" x14ac:dyDescent="0.2">
      <c r="N314" s="28" t="s">
        <v>421</v>
      </c>
    </row>
    <row r="315" spans="14:14" x14ac:dyDescent="0.2">
      <c r="N315" s="28" t="s">
        <v>422</v>
      </c>
    </row>
    <row r="316" spans="14:14" x14ac:dyDescent="0.2">
      <c r="N316" s="28" t="s">
        <v>423</v>
      </c>
    </row>
    <row r="317" spans="14:14" x14ac:dyDescent="0.2">
      <c r="N317" s="28" t="s">
        <v>424</v>
      </c>
    </row>
    <row r="318" spans="14:14" x14ac:dyDescent="0.2">
      <c r="N318" s="28" t="s">
        <v>425</v>
      </c>
    </row>
    <row r="319" spans="14:14" x14ac:dyDescent="0.2">
      <c r="N319" s="28" t="s">
        <v>426</v>
      </c>
    </row>
    <row r="320" spans="14:14" x14ac:dyDescent="0.2">
      <c r="N320" s="28" t="s">
        <v>427</v>
      </c>
    </row>
    <row r="321" spans="14:14" x14ac:dyDescent="0.2">
      <c r="N321" s="28" t="s">
        <v>428</v>
      </c>
    </row>
    <row r="322" spans="14:14" x14ac:dyDescent="0.2">
      <c r="N322" s="28" t="s">
        <v>429</v>
      </c>
    </row>
    <row r="323" spans="14:14" x14ac:dyDescent="0.2">
      <c r="N323" s="28" t="s">
        <v>430</v>
      </c>
    </row>
    <row r="324" spans="14:14" x14ac:dyDescent="0.2">
      <c r="N324" s="28" t="s">
        <v>431</v>
      </c>
    </row>
    <row r="325" spans="14:14" x14ac:dyDescent="0.2">
      <c r="N325" s="28" t="s">
        <v>432</v>
      </c>
    </row>
    <row r="326" spans="14:14" x14ac:dyDescent="0.2">
      <c r="N326" s="28" t="s">
        <v>433</v>
      </c>
    </row>
    <row r="327" spans="14:14" x14ac:dyDescent="0.2">
      <c r="N327" s="28" t="s">
        <v>434</v>
      </c>
    </row>
    <row r="328" spans="14:14" x14ac:dyDescent="0.2">
      <c r="N328" s="28" t="s">
        <v>435</v>
      </c>
    </row>
    <row r="329" spans="14:14" x14ac:dyDescent="0.2">
      <c r="N329" s="28" t="s">
        <v>436</v>
      </c>
    </row>
    <row r="330" spans="14:14" x14ac:dyDescent="0.2">
      <c r="N330" s="28" t="s">
        <v>437</v>
      </c>
    </row>
    <row r="331" spans="14:14" x14ac:dyDescent="0.2">
      <c r="N331" s="105" t="s">
        <v>438</v>
      </c>
    </row>
    <row r="332" spans="14:14" x14ac:dyDescent="0.2">
      <c r="N332" s="28" t="s">
        <v>439</v>
      </c>
    </row>
    <row r="333" spans="14:14" x14ac:dyDescent="0.2">
      <c r="N333" s="28" t="s">
        <v>440</v>
      </c>
    </row>
    <row r="334" spans="14:14" x14ac:dyDescent="0.2">
      <c r="N334" s="28" t="s">
        <v>441</v>
      </c>
    </row>
    <row r="335" spans="14:14" x14ac:dyDescent="0.2">
      <c r="N335" s="28" t="s">
        <v>442</v>
      </c>
    </row>
    <row r="336" spans="14:14" x14ac:dyDescent="0.2">
      <c r="N336" s="28" t="s">
        <v>443</v>
      </c>
    </row>
    <row r="337" spans="14:14" x14ac:dyDescent="0.2">
      <c r="N337" s="28" t="s">
        <v>444</v>
      </c>
    </row>
    <row r="338" spans="14:14" x14ac:dyDescent="0.2">
      <c r="N338" s="28" t="s">
        <v>445</v>
      </c>
    </row>
    <row r="339" spans="14:14" x14ac:dyDescent="0.2">
      <c r="N339" s="28" t="s">
        <v>446</v>
      </c>
    </row>
    <row r="340" spans="14:14" x14ac:dyDescent="0.2">
      <c r="N340" s="28" t="s">
        <v>447</v>
      </c>
    </row>
    <row r="341" spans="14:14" x14ac:dyDescent="0.2">
      <c r="N341" s="28" t="s">
        <v>448</v>
      </c>
    </row>
    <row r="342" spans="14:14" ht="13.5" thickBot="1" x14ac:dyDescent="0.25">
      <c r="N342" s="25" t="s">
        <v>479</v>
      </c>
    </row>
  </sheetData>
  <pageMargins left="0.7" right="0.7" top="0.75" bottom="0.75" header="0.3" footer="0.3"/>
  <pageSetup paperSize="9" orientation="portrait" r:id="rId1"/>
  <headerFooter>
    <oddFooter>&amp;C&amp;1#&amp;"Calibri"&amp;10&amp;K000000C1 - Interne</oddFooter>
  </headerFooter>
</worksheet>
</file>

<file path=docMetadata/LabelInfo.xml><?xml version="1.0" encoding="utf-8"?>
<clbl:labelList xmlns:clbl="http://schemas.microsoft.com/office/2020/mipLabelMetadata">
  <clbl:label id="{ae3d755d-5746-41ac-a1a9-5c4a3680df86}" enabled="1" method="Privileged" siteId="{5a2f4072-c135-4375-b2cc-b4239f6832d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Lots</vt:lpstr>
      <vt:lpstr>Config</vt:lpstr>
      <vt:lpstr>Listes Deroulantes</vt:lpstr>
    </vt:vector>
  </TitlesOfParts>
  <Company>Swiss 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jmontagne</dc:creator>
  <cp:lastModifiedBy>KRIDANE Sara</cp:lastModifiedBy>
  <dcterms:created xsi:type="dcterms:W3CDTF">2013-10-03T12:45:02Z</dcterms:created>
  <dcterms:modified xsi:type="dcterms:W3CDTF">2025-11-26T14:14:28Z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e3d755d-5746-41ac-a1a9-5c4a3680df86_Enabled">
    <vt:lpwstr>true</vt:lpwstr>
  </property>
  <property fmtid="{D5CDD505-2E9C-101B-9397-08002B2CF9AE}" pid="3" name="MSIP_Label_ae3d755d-5746-41ac-a1a9-5c4a3680df86_SetDate">
    <vt:lpwstr>2022-04-13T11:40:08Z</vt:lpwstr>
  </property>
  <property fmtid="{D5CDD505-2E9C-101B-9397-08002B2CF9AE}" pid="4" name="MSIP_Label_ae3d755d-5746-41ac-a1a9-5c4a3680df86_Method">
    <vt:lpwstr>Privileged</vt:lpwstr>
  </property>
  <property fmtid="{D5CDD505-2E9C-101B-9397-08002B2CF9AE}" pid="5" name="MSIP_Label_ae3d755d-5746-41ac-a1a9-5c4a3680df86_Name">
    <vt:lpwstr>Interne</vt:lpwstr>
  </property>
  <property fmtid="{D5CDD505-2E9C-101B-9397-08002B2CF9AE}" pid="6" name="MSIP_Label_ae3d755d-5746-41ac-a1a9-5c4a3680df86_SiteId">
    <vt:lpwstr>5a2f4072-c135-4375-b2cc-b4239f6832d4</vt:lpwstr>
  </property>
  <property fmtid="{D5CDD505-2E9C-101B-9397-08002B2CF9AE}" pid="7" name="MSIP_Label_ae3d755d-5746-41ac-a1a9-5c4a3680df86_ActionId">
    <vt:lpwstr>1ec539ce-de37-437e-88a7-c73cf7b9c9fe</vt:lpwstr>
  </property>
  <property fmtid="{D5CDD505-2E9C-101B-9397-08002B2CF9AE}" pid="8" name="MSIP_Label_ae3d755d-5746-41ac-a1a9-5c4a3680df86_ContentBits">
    <vt:lpwstr>2</vt:lpwstr>
  </property>
</Properties>
</file>